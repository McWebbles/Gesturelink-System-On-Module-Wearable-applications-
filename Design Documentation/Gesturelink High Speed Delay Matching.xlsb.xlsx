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ustomProperty1.bin" ContentType="application/vnd.openxmlformats-officedocument.spreadsheetml.customProperty"/>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lucas\Desktop\Start up\Hardware\MCU\"/>
    </mc:Choice>
  </mc:AlternateContent>
  <xr:revisionPtr revIDLastSave="0" documentId="13_ncr:1_{8889B400-D4CA-4389-BC0A-6E61A48B9E02}" xr6:coauthVersionLast="47" xr6:coauthVersionMax="47" xr10:uidLastSave="{00000000-0000-0000-0000-000000000000}"/>
  <bookViews>
    <workbookView xWindow="-98" yWindow="-98" windowWidth="19396" windowHeight="11475" firstSheet="1" activeTab="3" xr2:uid="{00000000-000D-0000-FFFF-FFFF00000000}"/>
  </bookViews>
  <sheets>
    <sheet name="Info" sheetId="10" r:id="rId1"/>
    <sheet name="LPDDR4" sheetId="1" r:id="rId2"/>
    <sheet name="LVDS" sheetId="12" r:id="rId3"/>
    <sheet name="SDMMC" sheetId="17" r:id="rId4"/>
    <sheet name="USB" sheetId="13" r:id="rId5"/>
    <sheet name="ETHERNET" sheetId="15" r:id="rId6"/>
    <sheet name="DSI" sheetId="16" r:id="rId7"/>
    <sheet name="PCIe" sheetId="14" r:id="rId8"/>
    <sheet name="Classified as UnClassified" sheetId="11" state="hidden" r:id="rId9"/>
    <sheet name="xl_DCF_History" sheetId="6" state="veryHidden" r:id="rId10"/>
  </sheets>
  <definedNames>
    <definedName name="_xlnm._FilterDatabase" localSheetId="0" hidden="1">Info!$A$2:$D$2</definedName>
    <definedName name="_xlnm._FilterDatabase" localSheetId="1" hidden="1">LPDDR4!$B$2:$S$2</definedName>
    <definedName name="BACKPLANE_LENGTH_LVDS" localSheetId="2">LVDS!$E:$E</definedName>
    <definedName name="CLOCK_A_LENGHTS">LPDDR4!$G$7:$G$8</definedName>
    <definedName name="CLOCK_B_LENGHTS">LPDDR4!$G$19:$G$20</definedName>
    <definedName name="CONNECTOR_Z_OFFSET">Info!$F$1</definedName>
    <definedName name="DQS0_A_LENGTHS">LPDDR4!$G$49:$G$50</definedName>
    <definedName name="DQS0_B_LENGTHS">LPDDR4!$G$71:$G$72</definedName>
    <definedName name="DQS1_A_LENGTHS">LPDDR4!$G$60:$G$61</definedName>
    <definedName name="DQS1_B_LENGTHS">LPDDR4!$G$82:$G$83</definedName>
    <definedName name="ETHERNET_BACKPLANE_LENGTH" localSheetId="5">ETHERNET!$I$2:$I$15</definedName>
    <definedName name="ETHERNET_BALL_NAME">ETHERNET!$B$2:$B$15</definedName>
    <definedName name="ETHERNET_NET_NAME" localSheetId="5">ETHERNET!$D$2:$D$15</definedName>
    <definedName name="ETHERNET_SOM_LENGTH" localSheetId="5">ETHERNET!$E$2:$E$15</definedName>
    <definedName name="NET_NAME">LPDDR4!$C:$C</definedName>
    <definedName name="NET_NAME_LVDS" localSheetId="6">DSI!$C:$C</definedName>
    <definedName name="NET_NAME_LVDS" localSheetId="5">ETHERNET!$E:$E</definedName>
    <definedName name="NET_NAME_LVDS" localSheetId="2">LVDS!$C:$C</definedName>
    <definedName name="NET_NAME_LVDS" localSheetId="4">USB!$D:$D</definedName>
    <definedName name="PACKAGE_LENGTH">LPDDR4!$D:$D</definedName>
    <definedName name="PACKAGE_LENGTH_LVDS" localSheetId="6">DSI!$D:$D</definedName>
    <definedName name="PACKAGE_LENGTH_LVDS" localSheetId="5">ETHERNET!$F:$F</definedName>
    <definedName name="PACKAGE_LENGTH_LVDS" localSheetId="2">LVDS!$D:$D</definedName>
    <definedName name="PACKAGE_LENGTH_LVDS" localSheetId="4">USB!$E:$E</definedName>
    <definedName name="SDMMC_BALLNAME">SDMMC!$B:$B</definedName>
    <definedName name="SDMMC_NET_NAME">SDMMC!$C:$C</definedName>
    <definedName name="SDMMC_TRACE_LENGTH" localSheetId="3">SDMMC!$D$2:$D$51</definedName>
    <definedName name="TOTAL_LVDS_LENGTH" localSheetId="6">DSI!$G:$G</definedName>
    <definedName name="TOTAL_LVDS_LENGTH" localSheetId="2">LVDS!$F:$F</definedName>
    <definedName name="TOTAL_LVDS_LENGTH" localSheetId="4">USB!$J:$J</definedName>
    <definedName name="VIA_L1_L10">Info!$C$24</definedName>
    <definedName name="VIA_L1_L12">Info!$C$19</definedName>
    <definedName name="VIA_L1_L3">Info!$C$21</definedName>
    <definedName name="VIA_L1_L4">Info!$C$22</definedName>
    <definedName name="VIA_L1_L9">Info!$C$20</definedName>
    <definedName name="VIA_L3_L4">Info!$C$23</definedName>
    <definedName name="VIA_OFFSET_ETHERNET" localSheetId="5">ETHERNET!$G$2:$G$15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6" l="1"/>
  <c r="G4" i="16"/>
  <c r="G6" i="16"/>
  <c r="G8" i="16"/>
  <c r="G2" i="16"/>
  <c r="F8" i="16"/>
  <c r="F4" i="16"/>
  <c r="F6" i="16"/>
  <c r="F2" i="16"/>
  <c r="H4" i="17"/>
  <c r="H8" i="17"/>
  <c r="H10" i="17"/>
  <c r="H2" i="17"/>
  <c r="H20" i="17"/>
  <c r="H22" i="17"/>
  <c r="H24" i="17"/>
  <c r="H26" i="17"/>
  <c r="H28" i="17"/>
  <c r="H30" i="17"/>
  <c r="H32" i="17"/>
  <c r="H34" i="17"/>
  <c r="H38" i="17"/>
  <c r="H40" i="17"/>
  <c r="H18" i="17"/>
  <c r="H16" i="17"/>
  <c r="G16" i="17"/>
  <c r="G6" i="17"/>
  <c r="H6" i="17" s="1"/>
  <c r="G8" i="17"/>
  <c r="G10" i="17"/>
  <c r="G4" i="17"/>
  <c r="G2" i="17"/>
  <c r="F4" i="17"/>
  <c r="F6" i="17"/>
  <c r="F8" i="17"/>
  <c r="F10" i="17"/>
  <c r="F20" i="17"/>
  <c r="F22" i="17"/>
  <c r="G22" i="17" s="1"/>
  <c r="F24" i="17"/>
  <c r="F26" i="17"/>
  <c r="G26" i="17" s="1"/>
  <c r="F28" i="17"/>
  <c r="F30" i="17"/>
  <c r="G30" i="17" s="1"/>
  <c r="F32" i="17"/>
  <c r="G32" i="17" s="1"/>
  <c r="F34" i="17"/>
  <c r="G34" i="17" s="1"/>
  <c r="F36" i="17"/>
  <c r="F38" i="17"/>
  <c r="G38" i="17" s="1"/>
  <c r="F40" i="17"/>
  <c r="G40" i="17" s="1"/>
  <c r="F18" i="17"/>
  <c r="G18" i="17" s="1"/>
  <c r="G28" i="17"/>
  <c r="G36" i="17"/>
  <c r="H36" i="17" s="1"/>
  <c r="G24" i="17"/>
  <c r="G44" i="17"/>
  <c r="G45" i="17"/>
  <c r="G46" i="17"/>
  <c r="G47" i="17"/>
  <c r="G48" i="17"/>
  <c r="G49" i="17"/>
  <c r="G20" i="17"/>
  <c r="E11" i="15"/>
  <c r="E13" i="15"/>
  <c r="E8" i="15"/>
  <c r="E3" i="15"/>
  <c r="E2" i="15"/>
  <c r="G4" i="15"/>
  <c r="J4" i="15" s="1"/>
  <c r="G5" i="15"/>
  <c r="J5" i="15" s="1"/>
  <c r="G6" i="15"/>
  <c r="G7" i="15"/>
  <c r="J7" i="15" s="1"/>
  <c r="G8" i="15"/>
  <c r="J8" i="15" s="1"/>
  <c r="G9" i="15"/>
  <c r="G10" i="15"/>
  <c r="G11" i="15"/>
  <c r="J11" i="15" s="1"/>
  <c r="G12" i="15"/>
  <c r="G13" i="15"/>
  <c r="J13" i="15" s="1"/>
  <c r="G14" i="15"/>
  <c r="G15" i="15"/>
  <c r="J15" i="15" s="1"/>
  <c r="G3" i="15"/>
  <c r="J3" i="15"/>
  <c r="J9" i="15"/>
  <c r="J10" i="15"/>
  <c r="G2" i="15"/>
  <c r="J2" i="15" s="1"/>
  <c r="J6" i="15"/>
  <c r="J12" i="15"/>
  <c r="J14" i="15"/>
  <c r="F16" i="17"/>
  <c r="F2" i="17"/>
  <c r="B60" i="17"/>
  <c r="B61" i="17"/>
  <c r="E35" i="15"/>
  <c r="E34" i="15"/>
  <c r="E33" i="15"/>
  <c r="E26" i="15"/>
  <c r="D32" i="13"/>
  <c r="D31" i="13"/>
  <c r="D30" i="13"/>
  <c r="D23" i="13"/>
  <c r="J13" i="13"/>
  <c r="G13" i="13"/>
  <c r="K12" i="13"/>
  <c r="J12" i="13"/>
  <c r="G12" i="13"/>
  <c r="J11" i="13"/>
  <c r="G11" i="13"/>
  <c r="J10" i="13"/>
  <c r="G10" i="13"/>
  <c r="J9" i="13"/>
  <c r="G9" i="13"/>
  <c r="J8" i="13"/>
  <c r="G8" i="13"/>
  <c r="J7" i="13"/>
  <c r="K6" i="13" s="1"/>
  <c r="G7" i="13"/>
  <c r="J6" i="13"/>
  <c r="G6" i="13"/>
  <c r="J5" i="13"/>
  <c r="G5" i="13"/>
  <c r="J4" i="13"/>
  <c r="G4" i="13"/>
  <c r="J3" i="13"/>
  <c r="G3" i="13"/>
  <c r="J2" i="13"/>
  <c r="G2" i="13"/>
  <c r="G51" i="17"/>
  <c r="G50" i="17"/>
  <c r="C29" i="12"/>
  <c r="C28" i="12"/>
  <c r="C27" i="12"/>
  <c r="C21" i="12"/>
  <c r="J11" i="12"/>
  <c r="F11" i="12"/>
  <c r="J10" i="12"/>
  <c r="H10" i="12"/>
  <c r="F10" i="12"/>
  <c r="J9" i="12"/>
  <c r="G9" i="12"/>
  <c r="F9" i="12"/>
  <c r="J8" i="12"/>
  <c r="G8" i="12"/>
  <c r="F8" i="12"/>
  <c r="J7" i="12"/>
  <c r="G7" i="12"/>
  <c r="F7" i="12"/>
  <c r="J6" i="12"/>
  <c r="G6" i="12"/>
  <c r="F6" i="12"/>
  <c r="J5" i="12"/>
  <c r="F5" i="12"/>
  <c r="J4" i="12"/>
  <c r="F4" i="12"/>
  <c r="G4" i="12" s="1"/>
  <c r="J3" i="12"/>
  <c r="F3" i="12"/>
  <c r="G3" i="12" s="1"/>
  <c r="J2" i="12"/>
  <c r="F2" i="12"/>
  <c r="G2" i="12" s="1"/>
  <c r="K83" i="1"/>
  <c r="J83" i="1"/>
  <c r="G83" i="1"/>
  <c r="F83" i="1"/>
  <c r="K82" i="1"/>
  <c r="J82" i="1"/>
  <c r="I82" i="1"/>
  <c r="G82" i="1"/>
  <c r="F82" i="1"/>
  <c r="K81" i="1"/>
  <c r="J81" i="1"/>
  <c r="H81" i="1"/>
  <c r="G81" i="1"/>
  <c r="F81" i="1"/>
  <c r="K80" i="1"/>
  <c r="J80" i="1"/>
  <c r="H80" i="1"/>
  <c r="G80" i="1"/>
  <c r="F80" i="1"/>
  <c r="K79" i="1"/>
  <c r="J79" i="1"/>
  <c r="H79" i="1"/>
  <c r="G79" i="1"/>
  <c r="F79" i="1"/>
  <c r="K78" i="1"/>
  <c r="J78" i="1"/>
  <c r="H78" i="1"/>
  <c r="G78" i="1"/>
  <c r="F78" i="1"/>
  <c r="K77" i="1"/>
  <c r="J77" i="1"/>
  <c r="H77" i="1"/>
  <c r="G77" i="1"/>
  <c r="F77" i="1"/>
  <c r="K76" i="1"/>
  <c r="J76" i="1"/>
  <c r="H76" i="1"/>
  <c r="G76" i="1"/>
  <c r="F76" i="1"/>
  <c r="K75" i="1"/>
  <c r="J75" i="1"/>
  <c r="H75" i="1"/>
  <c r="G75" i="1"/>
  <c r="F75" i="1"/>
  <c r="K74" i="1"/>
  <c r="J74" i="1"/>
  <c r="H74" i="1"/>
  <c r="G74" i="1"/>
  <c r="F74" i="1"/>
  <c r="G73" i="1"/>
  <c r="H73" i="1" s="1"/>
  <c r="F73" i="1"/>
  <c r="K72" i="1"/>
  <c r="J72" i="1"/>
  <c r="G72" i="1"/>
  <c r="F72" i="1"/>
  <c r="K71" i="1"/>
  <c r="J71" i="1"/>
  <c r="I71" i="1"/>
  <c r="G71" i="1"/>
  <c r="F71" i="1"/>
  <c r="K70" i="1"/>
  <c r="J70" i="1"/>
  <c r="H70" i="1"/>
  <c r="G70" i="1"/>
  <c r="F70" i="1"/>
  <c r="K69" i="1"/>
  <c r="J69" i="1"/>
  <c r="H69" i="1"/>
  <c r="G69" i="1"/>
  <c r="F69" i="1"/>
  <c r="K68" i="1"/>
  <c r="J68" i="1"/>
  <c r="H68" i="1"/>
  <c r="G68" i="1"/>
  <c r="F68" i="1"/>
  <c r="G67" i="1"/>
  <c r="M46" i="1" s="1" a="1"/>
  <c r="M46" i="1" s="1"/>
  <c r="F67" i="1"/>
  <c r="K66" i="1"/>
  <c r="J66" i="1"/>
  <c r="H66" i="1"/>
  <c r="G66" i="1"/>
  <c r="F66" i="1"/>
  <c r="K65" i="1"/>
  <c r="J65" i="1"/>
  <c r="H65" i="1"/>
  <c r="G65" i="1"/>
  <c r="F65" i="1"/>
  <c r="K64" i="1"/>
  <c r="J64" i="1"/>
  <c r="H64" i="1"/>
  <c r="G64" i="1"/>
  <c r="F64" i="1"/>
  <c r="K63" i="1"/>
  <c r="J63" i="1"/>
  <c r="H63" i="1"/>
  <c r="G63" i="1"/>
  <c r="F63" i="1"/>
  <c r="K62" i="1"/>
  <c r="J62" i="1"/>
  <c r="H62" i="1"/>
  <c r="G62" i="1"/>
  <c r="F62" i="1"/>
  <c r="K61" i="1"/>
  <c r="J61" i="1"/>
  <c r="G61" i="1"/>
  <c r="F61" i="1"/>
  <c r="K60" i="1"/>
  <c r="J60" i="1"/>
  <c r="I60" i="1"/>
  <c r="G60" i="1"/>
  <c r="F60" i="1"/>
  <c r="K59" i="1"/>
  <c r="J59" i="1"/>
  <c r="H59" i="1"/>
  <c r="G59" i="1"/>
  <c r="F59" i="1"/>
  <c r="K58" i="1"/>
  <c r="J58" i="1"/>
  <c r="H58" i="1"/>
  <c r="G58" i="1"/>
  <c r="F58" i="1"/>
  <c r="K57" i="1"/>
  <c r="J57" i="1"/>
  <c r="H57" i="1"/>
  <c r="G57" i="1"/>
  <c r="F57" i="1"/>
  <c r="K56" i="1"/>
  <c r="J56" i="1"/>
  <c r="H56" i="1"/>
  <c r="G56" i="1"/>
  <c r="F56" i="1"/>
  <c r="K55" i="1"/>
  <c r="J55" i="1"/>
  <c r="H55" i="1"/>
  <c r="G55" i="1"/>
  <c r="F55" i="1"/>
  <c r="K54" i="1"/>
  <c r="J54" i="1"/>
  <c r="H54" i="1"/>
  <c r="G54" i="1"/>
  <c r="F54" i="1"/>
  <c r="G53" i="1"/>
  <c r="H53" i="1" s="1"/>
  <c r="F53" i="1"/>
  <c r="M52" i="1"/>
  <c r="K52" i="1"/>
  <c r="J52" i="1"/>
  <c r="H52" i="1"/>
  <c r="G52" i="1"/>
  <c r="F52" i="1"/>
  <c r="K51" i="1"/>
  <c r="J51" i="1"/>
  <c r="H51" i="1"/>
  <c r="G51" i="1"/>
  <c r="F51" i="1"/>
  <c r="K50" i="1"/>
  <c r="J50" i="1"/>
  <c r="G50" i="1"/>
  <c r="F50" i="1"/>
  <c r="K49" i="1"/>
  <c r="J49" i="1"/>
  <c r="I49" i="1"/>
  <c r="G49" i="1"/>
  <c r="F49" i="1"/>
  <c r="K48" i="1"/>
  <c r="J48" i="1"/>
  <c r="H48" i="1"/>
  <c r="G48" i="1"/>
  <c r="F48" i="1"/>
  <c r="K47" i="1"/>
  <c r="J47" i="1"/>
  <c r="H47" i="1"/>
  <c r="G47" i="1"/>
  <c r="F47" i="1"/>
  <c r="K46" i="1"/>
  <c r="J46" i="1"/>
  <c r="H46" i="1"/>
  <c r="G46" i="1"/>
  <c r="F46" i="1"/>
  <c r="M45" i="1"/>
  <c r="K45" i="1"/>
  <c r="J45" i="1"/>
  <c r="H45" i="1"/>
  <c r="G45" i="1"/>
  <c r="F45" i="1"/>
  <c r="K44" i="1"/>
  <c r="J44" i="1"/>
  <c r="H44" i="1"/>
  <c r="G44" i="1"/>
  <c r="F44" i="1"/>
  <c r="K43" i="1"/>
  <c r="J43" i="1"/>
  <c r="H43" i="1"/>
  <c r="G43" i="1"/>
  <c r="F43" i="1"/>
  <c r="M42" i="1"/>
  <c r="K42" i="1"/>
  <c r="J42" i="1"/>
  <c r="H42" i="1"/>
  <c r="G42" i="1"/>
  <c r="F42" i="1"/>
  <c r="G41" i="1"/>
  <c r="H41" i="1" s="1"/>
  <c r="F41" i="1"/>
  <c r="K40" i="1"/>
  <c r="H40" i="1"/>
  <c r="G40" i="1"/>
  <c r="F40" i="1"/>
  <c r="M39" i="1"/>
  <c r="H33" i="1"/>
  <c r="G33" i="1"/>
  <c r="M32" i="1"/>
  <c r="H32" i="1"/>
  <c r="G32" i="1"/>
  <c r="H31" i="1"/>
  <c r="G31" i="1"/>
  <c r="H30" i="1"/>
  <c r="G30" i="1"/>
  <c r="H29" i="1"/>
  <c r="G29" i="1"/>
  <c r="H28" i="1"/>
  <c r="G28" i="1"/>
  <c r="H27" i="1"/>
  <c r="G27" i="1"/>
  <c r="M26" i="1"/>
  <c r="K26" i="1"/>
  <c r="J26" i="1"/>
  <c r="H26" i="1"/>
  <c r="G26" i="1"/>
  <c r="F26" i="1"/>
  <c r="M25" i="1"/>
  <c r="K25" i="1"/>
  <c r="J25" i="1"/>
  <c r="H25" i="1"/>
  <c r="G25" i="1"/>
  <c r="F25" i="1"/>
  <c r="K24" i="1"/>
  <c r="J24" i="1"/>
  <c r="H24" i="1"/>
  <c r="G24" i="1"/>
  <c r="F24" i="1"/>
  <c r="G23" i="1"/>
  <c r="H23" i="1" s="1"/>
  <c r="F23" i="1"/>
  <c r="G22" i="1"/>
  <c r="H22" i="1" s="1"/>
  <c r="F22" i="1"/>
  <c r="K21" i="1"/>
  <c r="J21" i="1"/>
  <c r="H21" i="1"/>
  <c r="G21" i="1"/>
  <c r="F21" i="1"/>
  <c r="K20" i="1"/>
  <c r="J20" i="1"/>
  <c r="G20" i="1"/>
  <c r="F20" i="1"/>
  <c r="M19" i="1"/>
  <c r="K19" i="1"/>
  <c r="J19" i="1"/>
  <c r="I19" i="1"/>
  <c r="G19" i="1"/>
  <c r="F19" i="1"/>
  <c r="O18" i="1"/>
  <c r="K18" i="1"/>
  <c r="J18" i="1"/>
  <c r="H18" i="1"/>
  <c r="G18" i="1"/>
  <c r="F18" i="1"/>
  <c r="G17" i="1"/>
  <c r="H17" i="1" s="1"/>
  <c r="F17" i="1"/>
  <c r="K16" i="1"/>
  <c r="J16" i="1"/>
  <c r="H16" i="1"/>
  <c r="G16" i="1"/>
  <c r="F16" i="1"/>
  <c r="O15" i="1"/>
  <c r="K15" i="1"/>
  <c r="J15" i="1"/>
  <c r="H15" i="1"/>
  <c r="G15" i="1"/>
  <c r="F15" i="1"/>
  <c r="K14" i="1"/>
  <c r="J14" i="1"/>
  <c r="H14" i="1"/>
  <c r="G14" i="1"/>
  <c r="F14" i="1"/>
  <c r="K13" i="1"/>
  <c r="J13" i="1"/>
  <c r="H13" i="1"/>
  <c r="G13" i="1"/>
  <c r="F13" i="1"/>
  <c r="K12" i="1"/>
  <c r="J12" i="1"/>
  <c r="H12" i="1"/>
  <c r="G12" i="1"/>
  <c r="F12" i="1"/>
  <c r="K11" i="1"/>
  <c r="J11" i="1"/>
  <c r="H11" i="1"/>
  <c r="G11" i="1"/>
  <c r="F11" i="1"/>
  <c r="G10" i="1"/>
  <c r="H10" i="1" s="1"/>
  <c r="F10" i="1"/>
  <c r="G9" i="1"/>
  <c r="H9" i="1" s="1"/>
  <c r="F9" i="1"/>
  <c r="K8" i="1"/>
  <c r="J8" i="1"/>
  <c r="G8" i="1"/>
  <c r="F8" i="1"/>
  <c r="K7" i="1"/>
  <c r="J7" i="1"/>
  <c r="G7" i="1"/>
  <c r="F7" i="1"/>
  <c r="K6" i="1"/>
  <c r="J6" i="1"/>
  <c r="H6" i="1"/>
  <c r="G6" i="1"/>
  <c r="F6" i="1"/>
  <c r="H5" i="1"/>
  <c r="J5" i="1" s="1"/>
  <c r="G5" i="1"/>
  <c r="F5" i="1"/>
  <c r="K4" i="1"/>
  <c r="J4" i="1"/>
  <c r="H4" i="1"/>
  <c r="G4" i="1"/>
  <c r="F4" i="1"/>
  <c r="H3" i="1"/>
  <c r="K3" i="1" s="1"/>
  <c r="G3" i="1"/>
  <c r="F3" i="1"/>
  <c r="J32" i="17" l="1"/>
  <c r="I28" i="17"/>
  <c r="J20" i="17"/>
  <c r="J22" i="17"/>
  <c r="I36" i="17"/>
  <c r="J34" i="17"/>
  <c r="I34" i="17"/>
  <c r="I40" i="17"/>
  <c r="J28" i="17"/>
  <c r="I38" i="17"/>
  <c r="J30" i="17"/>
  <c r="J18" i="17"/>
  <c r="I32" i="17"/>
  <c r="J26" i="17"/>
  <c r="I30" i="17"/>
  <c r="I24" i="17"/>
  <c r="I26" i="17"/>
  <c r="I22" i="17"/>
  <c r="I20" i="17"/>
  <c r="I18" i="17"/>
  <c r="J40" i="17"/>
  <c r="J24" i="17"/>
  <c r="J38" i="17"/>
  <c r="J36" i="17"/>
  <c r="J4" i="17"/>
  <c r="J45" i="17"/>
  <c r="J2" i="17"/>
  <c r="J8" i="17"/>
  <c r="J6" i="17"/>
  <c r="J50" i="17"/>
  <c r="J43" i="17"/>
  <c r="J51" i="17"/>
  <c r="J10" i="17"/>
  <c r="J42" i="17"/>
  <c r="J44" i="17"/>
  <c r="I5" i="12"/>
  <c r="I10" i="12"/>
  <c r="I8" i="12"/>
  <c r="I11" i="12"/>
  <c r="I2" i="12"/>
  <c r="I4" i="12"/>
  <c r="I6" i="12"/>
  <c r="G5" i="12"/>
  <c r="I3" i="12"/>
  <c r="I9" i="12"/>
  <c r="I7" i="12"/>
  <c r="K41" i="1"/>
  <c r="J41" i="1"/>
  <c r="M33" i="1" a="1"/>
  <c r="M33" i="1" s="1"/>
  <c r="K8" i="13"/>
  <c r="J3" i="1"/>
  <c r="J40" i="1"/>
  <c r="K5" i="1"/>
  <c r="K9" i="1"/>
  <c r="J9" i="1"/>
  <c r="M20" i="1" a="1"/>
  <c r="M20" i="1" s="1"/>
  <c r="K10" i="1"/>
  <c r="J10" i="1"/>
  <c r="J23" i="1"/>
  <c r="K23" i="1"/>
  <c r="H67" i="1"/>
  <c r="K73" i="1"/>
  <c r="L73" i="1" s="1"/>
  <c r="J73" i="1"/>
  <c r="M53" i="1" a="1"/>
  <c r="M53" i="1" s="1"/>
  <c r="K17" i="1"/>
  <c r="J17" i="1"/>
  <c r="J22" i="1"/>
  <c r="K22" i="1"/>
  <c r="M27" i="1" a="1"/>
  <c r="M27" i="1" s="1"/>
  <c r="J53" i="1"/>
  <c r="K53" i="1"/>
  <c r="M40" i="1" a="1"/>
  <c r="M40" i="1" s="1"/>
  <c r="J48" i="17"/>
  <c r="J46" i="17"/>
  <c r="J47" i="17"/>
  <c r="J49" i="17"/>
  <c r="I45" i="17"/>
  <c r="I16" i="17"/>
  <c r="I44" i="17"/>
  <c r="I51" i="17"/>
  <c r="I43" i="17"/>
  <c r="I50" i="17"/>
  <c r="I42" i="17"/>
  <c r="I49" i="17"/>
  <c r="I6" i="17"/>
  <c r="I48" i="17"/>
  <c r="I8" i="17"/>
  <c r="I47" i="17"/>
  <c r="I10" i="17"/>
  <c r="I46" i="17"/>
  <c r="J16" i="17"/>
  <c r="I2" i="17"/>
  <c r="I4" i="17"/>
  <c r="M30" i="1" l="1"/>
  <c r="M29" i="1"/>
  <c r="M31" i="1"/>
  <c r="M16" i="1"/>
  <c r="M17" i="1"/>
  <c r="M18" i="1"/>
  <c r="K67" i="1"/>
  <c r="J67" i="1"/>
  <c r="M49" i="1"/>
  <c r="M50" i="1"/>
  <c r="M51" i="1"/>
  <c r="M24" i="1"/>
  <c r="M22" i="1"/>
  <c r="M23" i="1"/>
  <c r="M35" i="1"/>
  <c r="M36" i="1"/>
  <c r="M37" i="1"/>
  <c r="M44" i="1" l="1"/>
  <c r="M4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<sst xmlns="http://schemas.openxmlformats.org/spreadsheetml/2006/main" count="564" uniqueCount="441">
  <si>
    <t>NET NAME</t>
  </si>
  <si>
    <t>CLINAME</t>
  </si>
  <si>
    <t>DATETIME</t>
  </si>
  <si>
    <t>DONEBY</t>
  </si>
  <si>
    <t>IPADDRESS</t>
  </si>
  <si>
    <t>APPVER</t>
  </si>
  <si>
    <t>RANDOM</t>
  </si>
  <si>
    <t>CHECKSUM</t>
  </si>
  <si>
    <t>ᑤᑥᐱᑣᑶᒄᒅᒃᑺᑴᒅᑶᑵ</t>
  </si>
  <si>
    <t>ᑃᑀᑂᑅᑀᑃᑁᑂᑉᐱᐱᑂᑃᑋᑁᑂᑒᑞᐱᐹᑘᑞᑥᐼᑂᑋᑁᐺ</t>
  </si>
  <si>
    <t>ᑤᑥᑭᑝᑾᑶᑁᑁᑂᑃᑊ</t>
  </si>
  <si>
    <t>ᑝᑞᑖᑔᑨᑝᑁᑉᑉᑄ</t>
  </si>
  <si>
    <t>ᑇᐿᑁᐿᑁᐿᑁ</t>
  </si>
  <si>
    <t>ᑅᑂᑆᑊ</t>
  </si>
  <si>
    <t>Byte 0</t>
  </si>
  <si>
    <t>Byte 1</t>
  </si>
  <si>
    <t>A7</t>
  </si>
  <si>
    <t>A5</t>
  </si>
  <si>
    <t>A9</t>
  </si>
  <si>
    <t>A13</t>
  </si>
  <si>
    <t>A3</t>
  </si>
  <si>
    <t>A2</t>
  </si>
  <si>
    <t>A0</t>
  </si>
  <si>
    <t>A14</t>
  </si>
  <si>
    <t>A11</t>
  </si>
  <si>
    <t>A1</t>
  </si>
  <si>
    <t>A12</t>
  </si>
  <si>
    <t>A10</t>
  </si>
  <si>
    <t>A8</t>
  </si>
  <si>
    <t>A6</t>
  </si>
  <si>
    <t>A4</t>
  </si>
  <si>
    <t>TOTAL LENGTH (mm)</t>
  </si>
  <si>
    <t>within the limits</t>
  </si>
  <si>
    <t>outside the limits</t>
  </si>
  <si>
    <t>value</t>
  </si>
  <si>
    <t>ᅡᅢᄮᅑᅽᅼᅴᅷᅲᅳᅼᆂᅷᅯᅺ</t>
  </si>
  <si>
    <t>ᅁᄽᅀᅁᄽᅀᄾᄿᅆᄮᄮᄿᅃᅈᅃᅄᅞᅛᄮᄶᅕᅛᅢᄹᄿᅈᄾᄷ</t>
  </si>
  <si>
    <t>ᅡᅢᅪᅚᅻᅳᄾᄾᄿᅀᅇ</t>
  </si>
  <si>
    <t>ᅚᅛᅓᅑᅥᅚᄾᅆᅆᅁ</t>
  </si>
  <si>
    <t>ᅄᄼᄾᄼᄾᄼᄾ</t>
  </si>
  <si>
    <t>ᅂᅁᅅᄿ</t>
  </si>
  <si>
    <t>Board reference:</t>
  </si>
  <si>
    <t>Variant:</t>
  </si>
  <si>
    <t>PCB revision:</t>
  </si>
  <si>
    <t>Assembly revision:</t>
  </si>
  <si>
    <t>Date:</t>
  </si>
  <si>
    <t>࡚ࡳࡈࡱࡦࡸࡸ࡮࡫࡮ࡪࡩ</t>
  </si>
  <si>
    <t>࠷࠴࠺࠴࠷࠵࠶࠾ࠥࠥ࠶࠽࠿࠶࠼ࡕࡒࠥ࠭ࡌࡒ࡙࠰࠶࠿࠵࠮</t>
  </si>
  <si>
    <t>ࡘ࡙ࡡࡑࡲࡪ࠵࠵࠶࠷࠾</t>
  </si>
  <si>
    <t>ࡑࡒࡊࡈ࡜ࡑ࠵࠽࠽࠸</t>
  </si>
  <si>
    <t>࠻࠳࠵࠳࠵࠳࠵</t>
  </si>
  <si>
    <t>࠹࠶࠵࠷</t>
  </si>
  <si>
    <t>Byte 2</t>
  </si>
  <si>
    <t>Byte 3</t>
  </si>
  <si>
    <t>A15</t>
  </si>
  <si>
    <t>A16</t>
  </si>
  <si>
    <t>A18</t>
  </si>
  <si>
    <t>A19</t>
  </si>
  <si>
    <t>A20</t>
  </si>
  <si>
    <t>A21</t>
  </si>
  <si>
    <t>A22</t>
  </si>
  <si>
    <t>A23</t>
  </si>
  <si>
    <t>A25</t>
  </si>
  <si>
    <t>A26</t>
  </si>
  <si>
    <t>A27</t>
  </si>
  <si>
    <t>A28</t>
  </si>
  <si>
    <t>A29</t>
  </si>
  <si>
    <t>A30</t>
  </si>
  <si>
    <t>A31</t>
  </si>
  <si>
    <t>DELTA WITH ((DQSn_P+DQSn_N)/2)
MAX: +/- 1.42 mm</t>
  </si>
  <si>
    <t>DELTA WITH ((CLK_P+CLK_N)/2):
MAX: +/- 12.07 mm</t>
  </si>
  <si>
    <t>DELTA WITH ((CLK_P+CLK_N)/2):
   MAX +/- 3.55 mm</t>
  </si>
  <si>
    <t>DDR_CA0_A</t>
  </si>
  <si>
    <t>DDR_CA1_A</t>
  </si>
  <si>
    <t>DDR_CA3_A</t>
  </si>
  <si>
    <t>DDR_CLK_A_P</t>
  </si>
  <si>
    <t>DDR_CLK_A_N</t>
  </si>
  <si>
    <t>DDR_CS0_A</t>
  </si>
  <si>
    <t>DDR_CS1_A</t>
  </si>
  <si>
    <t>DDR_CA2_A</t>
  </si>
  <si>
    <t>DDR_CA4_A</t>
  </si>
  <si>
    <t>DDR_CA5_A</t>
  </si>
  <si>
    <t>DDR_CA0_B</t>
  </si>
  <si>
    <t>DDR_CA1_B</t>
  </si>
  <si>
    <t>DDR_CLK_B_P</t>
  </si>
  <si>
    <t>DDR_CLK_B_N</t>
  </si>
  <si>
    <t>DDR_CS0_B</t>
  </si>
  <si>
    <t>DDR_CS1_B</t>
  </si>
  <si>
    <t>DDR_CA2_B</t>
  </si>
  <si>
    <t>DDR_CA3_B</t>
  </si>
  <si>
    <t>DDR_CA4_B</t>
  </si>
  <si>
    <t>DDR_CA5_B</t>
  </si>
  <si>
    <t>DDR_DQ1_A</t>
  </si>
  <si>
    <t>DDR_DQ0_A</t>
  </si>
  <si>
    <t>DDR_DQ2_A</t>
  </si>
  <si>
    <t>DDR_DQ3_A</t>
  </si>
  <si>
    <t>DDR_DQ4_A</t>
  </si>
  <si>
    <t>DDR_DQ5_A</t>
  </si>
  <si>
    <t>DDR_DQ6_A</t>
  </si>
  <si>
    <t>DDR_DQ7_A</t>
  </si>
  <si>
    <t>DDR_DQMI0_A</t>
  </si>
  <si>
    <t>DDR_DQS0_A_P</t>
  </si>
  <si>
    <t>DDR_DQS0_A_N</t>
  </si>
  <si>
    <t>DDR_DQ8_A</t>
  </si>
  <si>
    <t>DDR_DQ9_A</t>
  </si>
  <si>
    <t>DDR_DQ10_A</t>
  </si>
  <si>
    <t>DDR_DQ11_A</t>
  </si>
  <si>
    <t>DDR_DQ12_A</t>
  </si>
  <si>
    <t>DDR_DQ13_A</t>
  </si>
  <si>
    <t>DDR_DQ14_A</t>
  </si>
  <si>
    <t>DDR_DQ15_A</t>
  </si>
  <si>
    <t>DDR_DQMI1_A</t>
  </si>
  <si>
    <t>DDR_DQS1_A_N</t>
  </si>
  <si>
    <t>DDR_DQS1_A_P</t>
  </si>
  <si>
    <t>DDR_DQ8_B</t>
  </si>
  <si>
    <t>DDR_DQ0_B</t>
  </si>
  <si>
    <t>DDR_DQ1_B</t>
  </si>
  <si>
    <t>DDR_DQ2_B</t>
  </si>
  <si>
    <t>DDR_DQ3_B</t>
  </si>
  <si>
    <t>DDR_DQ4_B</t>
  </si>
  <si>
    <t>DDR_DQ5_B</t>
  </si>
  <si>
    <t>DDR_DQ7_B</t>
  </si>
  <si>
    <t>DDR_DQMI0_B</t>
  </si>
  <si>
    <t>DDR_DQS0_B_N</t>
  </si>
  <si>
    <t>DDR_DQS0_B_P</t>
  </si>
  <si>
    <t>DDR_DQ9_B</t>
  </si>
  <si>
    <t>DDR_DQ10_B</t>
  </si>
  <si>
    <t>DDR_DQ11_B</t>
  </si>
  <si>
    <t>DDR_DQ12_B</t>
  </si>
  <si>
    <t>DDR_DQ13_B</t>
  </si>
  <si>
    <t>DDR_DQ14_B</t>
  </si>
  <si>
    <t>DDR_DQ15_B</t>
  </si>
  <si>
    <t>DDR_DQMI1_B</t>
  </si>
  <si>
    <t>DDR_DQS1_B_N</t>
  </si>
  <si>
    <t>DDR_DQS1_B_P</t>
  </si>
  <si>
    <t>DDR_DQ6_B</t>
  </si>
  <si>
    <t>A17</t>
  </si>
  <si>
    <t>࠷࠴࠷࠼࠴࠷࠵࠷࠸ࠥࠥ࠶࠼࠿࠵࠻ࠥ࠭ࡌࡒ࡙࠰࠶࠿࠵࠮</t>
  </si>
  <si>
    <t>ࡠ࡚ࡳࡈࡱࡦࡸࡸ࡮࡫࡮ࡪࡩࡢࠥࡃࠥࡆࡎࡕࠥ࡭ࡦࡳࡩࡴࡻࡪࡷ</t>
  </si>
  <si>
    <t>ࡑࡒࡊࡈ࡜ࡑ࠶࠷࠻࠼</t>
  </si>
  <si>
    <t>࠽࠳࠹࠳࠵࠳࠵</t>
  </si>
  <si>
    <t>࠺࠽࠶࠹</t>
  </si>
  <si>
    <t>BALL NAME</t>
  </si>
  <si>
    <t>NA</t>
  </si>
  <si>
    <t>DDR_DQ0</t>
  </si>
  <si>
    <t>DDR_DQ1</t>
  </si>
  <si>
    <t>DDR_DQ2</t>
  </si>
  <si>
    <t>DDR_DQ3</t>
  </si>
  <si>
    <t>DDR_DQ4</t>
  </si>
  <si>
    <t>DDR_DQ5</t>
  </si>
  <si>
    <t>DDR_DQ6</t>
  </si>
  <si>
    <t>DDR_DQ7</t>
  </si>
  <si>
    <t>DDR_DQM0</t>
  </si>
  <si>
    <t>DDR_DQS0N</t>
  </si>
  <si>
    <t>DDR_DQS0P</t>
  </si>
  <si>
    <t>DDR_DQ8</t>
  </si>
  <si>
    <t>DDR_DQ9</t>
  </si>
  <si>
    <t>DDR_DQ10</t>
  </si>
  <si>
    <t>DDR_DQ11</t>
  </si>
  <si>
    <t>DDR_DQ12</t>
  </si>
  <si>
    <t>DDR_DQ13</t>
  </si>
  <si>
    <t>DDR_DQ14</t>
  </si>
  <si>
    <t>DDR_DQ15</t>
  </si>
  <si>
    <t>DDR_DQS1N</t>
  </si>
  <si>
    <t>DDR_DQS1P</t>
  </si>
  <si>
    <t>DDR_DQ16</t>
  </si>
  <si>
    <t>DDR_DQ17</t>
  </si>
  <si>
    <t>DDR_DQ18</t>
  </si>
  <si>
    <t>DDR_DQ19</t>
  </si>
  <si>
    <t>DDR_DQ20</t>
  </si>
  <si>
    <t>DDR_DQ21</t>
  </si>
  <si>
    <t>DDR_DQ22</t>
  </si>
  <si>
    <t>DDR_DQM2</t>
  </si>
  <si>
    <t>DDR_DQ23</t>
  </si>
  <si>
    <t>DDR_DQ24</t>
  </si>
  <si>
    <t>DDR_DQ25</t>
  </si>
  <si>
    <t>DDR_DQ26</t>
  </si>
  <si>
    <t>DDR_DQ27</t>
  </si>
  <si>
    <t>DDR_DQ28</t>
  </si>
  <si>
    <t>DDR_DQ29</t>
  </si>
  <si>
    <t>DDR_DQ30</t>
  </si>
  <si>
    <t>DDR_DQ31</t>
  </si>
  <si>
    <t>DDR_DQM3</t>
  </si>
  <si>
    <t>DDR_DQS3N</t>
  </si>
  <si>
    <t>DDR_DQS3P</t>
  </si>
  <si>
    <t>DDR_DQM1</t>
  </si>
  <si>
    <t>DDR_DQS2N</t>
  </si>
  <si>
    <t>DDR_DQS2P</t>
  </si>
  <si>
    <t>DDR_CKE0_A</t>
  </si>
  <si>
    <t>DDR_CKE1_A</t>
  </si>
  <si>
    <t>DDR_CKE0_B</t>
  </si>
  <si>
    <t>DDR_CKE1_B</t>
  </si>
  <si>
    <t>Address/Command</t>
  </si>
  <si>
    <t>Note: This document is an help to cross-check most wire lenght constrains, but cannot detect all DDR implementation issues.
Please also refer to latest AN5723 and AN5724 as well as product Reference Manual and Datasheet when implementing DDR device.</t>
  </si>
  <si>
    <t>STM32MP25xxAK LENGTH (mm)</t>
  </si>
  <si>
    <t>STM32MP25xxAK to memory (mm)</t>
  </si>
  <si>
    <t>DELTA WITH ((CLK_A_P+CLK_A_N)/2):
   MAX +/- 14.5 mm</t>
  </si>
  <si>
    <t>CRITICAL LENGTH</t>
  </si>
  <si>
    <t>22.0205mm Worse Case Scenario, best case scenario -&gt; 27.7777mm</t>
  </si>
  <si>
    <t>MIN</t>
  </si>
  <si>
    <t>MAX</t>
  </si>
  <si>
    <t>MEAN</t>
  </si>
  <si>
    <t>Quick mm to ps conveter</t>
  </si>
  <si>
    <t>Length(mm)</t>
  </si>
  <si>
    <t>Time (ps)</t>
  </si>
  <si>
    <t>UTILITIES</t>
  </si>
  <si>
    <t>ps to mm conveter</t>
  </si>
  <si>
    <r>
      <t xml:space="preserve">RANK A Command and Addressing CORE </t>
    </r>
    <r>
      <rPr>
        <sz val="11"/>
        <color theme="1"/>
        <rFont val="Arial"/>
        <family val="2"/>
      </rPr>
      <t>INFORMATION</t>
    </r>
  </si>
  <si>
    <t>(CLK_A_P + CLK_A_N)/2</t>
  </si>
  <si>
    <t>FLAGGED traces</t>
  </si>
  <si>
    <t>(CLK_B_P + CLK_B_N)/2</t>
  </si>
  <si>
    <r>
      <t xml:space="preserve">RANK B Command and Addressing CORE </t>
    </r>
    <r>
      <rPr>
        <sz val="11"/>
        <color theme="1"/>
        <rFont val="Arial"/>
        <family val="2"/>
      </rPr>
      <t>INFORMATION</t>
    </r>
  </si>
  <si>
    <r>
      <rPr>
        <b/>
        <sz val="11"/>
        <color theme="1"/>
        <rFont val="Aptos Narrow"/>
        <family val="2"/>
      </rPr>
      <t>Δ</t>
    </r>
    <r>
      <rPr>
        <b/>
        <sz val="7.7"/>
        <color theme="1"/>
        <rFont val="Arial"/>
        <family val="2"/>
      </rPr>
      <t>CLOCK TIME</t>
    </r>
    <r>
      <rPr>
        <b/>
        <sz val="11"/>
        <color theme="1"/>
        <rFont val="Arial"/>
        <family val="2"/>
      </rPr>
      <t xml:space="preserve"> (ps)</t>
    </r>
  </si>
  <si>
    <t>(DQS0_P + DQS0_N)/2</t>
  </si>
  <si>
    <t>RANK A BYTE 0 DQ Signalling Information summary</t>
  </si>
  <si>
    <t>(DQS1_P + DQS1_N)/2</t>
  </si>
  <si>
    <t>(DQS0_P + DQS_N)/2</t>
  </si>
  <si>
    <t>RANK A BYTE 1 DQ Signalling Information summary</t>
  </si>
  <si>
    <t>RANK B BYTE 0 DQ Signalling Information summary</t>
  </si>
  <si>
    <t>RANK B BYTE 1 DQ Signalling Information summary</t>
  </si>
  <si>
    <t>MPU to memory (mil)</t>
  </si>
  <si>
    <t>redo this</t>
  </si>
  <si>
    <t>Distance from L1 (mil)</t>
  </si>
  <si>
    <t xml:space="preserve">L3 </t>
  </si>
  <si>
    <t xml:space="preserve">L4 </t>
  </si>
  <si>
    <t>L12</t>
  </si>
  <si>
    <t>L9</t>
  </si>
  <si>
    <t>DIFFERENTIAL 0</t>
  </si>
  <si>
    <t>DIFFERENTIAL 1</t>
  </si>
  <si>
    <t>DIFFERENTIAL 2</t>
  </si>
  <si>
    <t>DIFFERENTIAL 3</t>
  </si>
  <si>
    <t>LVDS1_D0P</t>
  </si>
  <si>
    <t>DIFFERENTIAL 4</t>
  </si>
  <si>
    <t>LVDS1_D1P</t>
  </si>
  <si>
    <t>LVDS1_D2P</t>
  </si>
  <si>
    <t>LVDS1_D3P</t>
  </si>
  <si>
    <t>LVDS1_D0N</t>
  </si>
  <si>
    <t>LVDS1_D1N</t>
  </si>
  <si>
    <t>LVDS1_D2N</t>
  </si>
  <si>
    <t>LVDS1_D3N</t>
  </si>
  <si>
    <t>LVDS_D0P</t>
  </si>
  <si>
    <t>LVDS_D0N</t>
  </si>
  <si>
    <t>LVDS_D1P</t>
  </si>
  <si>
    <t>LVDS_D1N</t>
  </si>
  <si>
    <t>LVDS_D2P</t>
  </si>
  <si>
    <t>LVDS_D2N</t>
  </si>
  <si>
    <t>LVDS_D3P</t>
  </si>
  <si>
    <t>LVDS_D3N</t>
  </si>
  <si>
    <t>LVDS1_CLKP</t>
  </si>
  <si>
    <t>LVDS_CLKN</t>
  </si>
  <si>
    <t>LVDS_CLKP</t>
  </si>
  <si>
    <t>LVDS1_CLKN</t>
  </si>
  <si>
    <t>Backplane Length</t>
  </si>
  <si>
    <t xml:space="preserve">Gesturelink Highspeed Interface </t>
  </si>
  <si>
    <t xml:space="preserve">Gesturelink </t>
  </si>
  <si>
    <t>Main SoM</t>
  </si>
  <si>
    <t>Important Integration information</t>
  </si>
  <si>
    <t>Z-axis backplane connector mating height (mm):</t>
  </si>
  <si>
    <t>Complete Entry Flag</t>
  </si>
  <si>
    <t>Difference  from reference Ps</t>
  </si>
  <si>
    <t>Difference  from reference mil</t>
  </si>
  <si>
    <t>Formula to determine Maximum Propagation Delay</t>
  </si>
  <si>
    <t>T_jitter = Peak-to-Peak jitter from clock and data pins</t>
  </si>
  <si>
    <t>T_Setup = Receiver's input setup time (read datasheet)</t>
  </si>
  <si>
    <t>T_Buffer_Delays = Min/Max delay through transmitter and receiver buffers</t>
  </si>
  <si>
    <t>T_Clock = Clock period of protocol (t) (remember 1/frequency)</t>
  </si>
  <si>
    <t>Input</t>
  </si>
  <si>
    <t>Clock Speed (MHz)</t>
  </si>
  <si>
    <t>Result (ps)</t>
  </si>
  <si>
    <t>Percentage of delay</t>
  </si>
  <si>
    <t>Jitter (ps)</t>
  </si>
  <si>
    <t>Rise Time (ps)</t>
  </si>
  <si>
    <t>Fall Time (ps)</t>
  </si>
  <si>
    <t>t_PD_max = (T_clock) - T_Jitter - T_Skew_Rise - T_Skew_Fall  -  t_Misc</t>
  </si>
  <si>
    <t>Miscellaneous</t>
  </si>
  <si>
    <t>ΔL_max (mm):</t>
  </si>
  <si>
    <t>ΔL_max (mil):</t>
  </si>
  <si>
    <t>t_PD_max (ps):</t>
  </si>
  <si>
    <t>Note* This is the MAXIMUM Propagation delay. The greater the margin from the maximum, the better!</t>
  </si>
  <si>
    <t>STM32MP2 Length to Breakout (mil)</t>
  </si>
  <si>
    <t>Total Length (mm)</t>
  </si>
  <si>
    <t xml:space="preserve">ΔCLK Differential </t>
  </si>
  <si>
    <t>Δ from AVERAGE DEVIATION</t>
  </si>
  <si>
    <t>Not for USB3.0 -&gt; Maximum Slew rate must not exceed 10ms/s</t>
  </si>
  <si>
    <t>Source for calculation  = USB3.0 Technical Specification (2008)</t>
  </si>
  <si>
    <t>Jitter_TX</t>
  </si>
  <si>
    <t>Jitter_RX</t>
  </si>
  <si>
    <t>Jitter_Media</t>
  </si>
  <si>
    <t>Intra-pair skew maximum = 15ps/m (meter)   (4.49mm)</t>
  </si>
  <si>
    <t>Rise Time</t>
  </si>
  <si>
    <t>Fall Time</t>
  </si>
  <si>
    <t>Maximum Tolerances</t>
  </si>
  <si>
    <t>STM32MP25xxAK (14x14) - NOT INCLUDING PIN PACKAGE OF DDR IC</t>
  </si>
  <si>
    <t>USB 3.0 Backplane</t>
  </si>
  <si>
    <t>AF22(P) &amp; AG22(N)</t>
  </si>
  <si>
    <t>USB3.0_D_P</t>
  </si>
  <si>
    <t>USB3.0_D_N</t>
  </si>
  <si>
    <t>USB_P</t>
  </si>
  <si>
    <t>USB_N</t>
  </si>
  <si>
    <t>USB Constant Parameters - From Pin to MUX</t>
  </si>
  <si>
    <t>USB3.0_A_D_P</t>
  </si>
  <si>
    <t>Constant NET NAME</t>
  </si>
  <si>
    <t>USB3.0_A_D_N</t>
  </si>
  <si>
    <t>USB3.0_BB_P</t>
  </si>
  <si>
    <t>USB3.0_BB_N</t>
  </si>
  <si>
    <t>USB3.0_BACK_P</t>
  </si>
  <si>
    <t>USB3.0_BACK_N</t>
  </si>
  <si>
    <t>WIFI USB 2.0</t>
  </si>
  <si>
    <t>WIFI_USB_P</t>
  </si>
  <si>
    <t>WIFI_USB_N</t>
  </si>
  <si>
    <t>Backplane (Y/N)</t>
  </si>
  <si>
    <t>VIA Information</t>
  </si>
  <si>
    <t>L1-12</t>
  </si>
  <si>
    <t>L1-9/L12-3</t>
  </si>
  <si>
    <t>L1-3</t>
  </si>
  <si>
    <t>L1-4</t>
  </si>
  <si>
    <t>VIA (Y/N)</t>
  </si>
  <si>
    <t>L3-4</t>
  </si>
  <si>
    <t>L1-10/L12-3</t>
  </si>
  <si>
    <t>t_PD_max = (T_clock) - T_Jitter_TX -  T_Jitter_RX - T_Jitter_Media - T_Rise - T_Fall</t>
  </si>
  <si>
    <t>Formula to determine Maximum Propagation Delay for USB</t>
  </si>
  <si>
    <t>VIA Offset (Z Axis)</t>
  </si>
  <si>
    <r>
      <t xml:space="preserve">Δ from Tolerance (mil) </t>
    </r>
    <r>
      <rPr>
        <b/>
        <sz val="11"/>
        <color theme="1"/>
        <rFont val="Aptos Narrow"/>
        <family val="2"/>
      </rPr>
      <t>±</t>
    </r>
    <r>
      <rPr>
        <b/>
        <sz val="10.1"/>
        <color theme="1"/>
        <rFont val="Calibri"/>
        <family val="2"/>
      </rPr>
      <t xml:space="preserve"> 5mil</t>
    </r>
  </si>
  <si>
    <t>ONBOARD USB3.0</t>
  </si>
  <si>
    <t>DELTA W/ CLK (mil)</t>
  </si>
  <si>
    <t>Formula to determine Maximum Propagation Delay for RGMII GIGABIT ETHERNET</t>
  </si>
  <si>
    <t>tsr = t_id - IDvar - T_skewT  - IO_skew - PCB_skew</t>
  </si>
  <si>
    <t>tsr = Minimum Setup time with non-idealities present</t>
  </si>
  <si>
    <t>t_id = Delay Introduced by Design</t>
  </si>
  <si>
    <t>d</t>
  </si>
  <si>
    <r>
      <t xml:space="preserve">Although -&gt; according to DP83867IRPAPR GigEthernet PHY, </t>
    </r>
    <r>
      <rPr>
        <b/>
        <sz val="16"/>
        <color theme="1"/>
        <rFont val="Aptos Narrow"/>
        <family val="2"/>
      </rPr>
      <t>±</t>
    </r>
    <r>
      <rPr>
        <b/>
        <sz val="16"/>
        <color theme="1"/>
        <rFont val="Calibri"/>
        <family val="2"/>
        <scheme val="minor"/>
      </rPr>
      <t>500ps skew is absolute max to PHY</t>
    </r>
  </si>
  <si>
    <t>note* don't worry about matching length on SoM -&gt; backplane will have more aggressive matching</t>
  </si>
  <si>
    <t>Command &amp;  Management</t>
  </si>
  <si>
    <t>ETH1_MDIO</t>
  </si>
  <si>
    <t>ETH_RGMII_MDC</t>
  </si>
  <si>
    <t>RX</t>
  </si>
  <si>
    <t>TX</t>
  </si>
  <si>
    <t>ETH_MDIO</t>
  </si>
  <si>
    <t>ETH1_RGMII_MDC</t>
  </si>
  <si>
    <t>ETH_RGMII_RXC</t>
  </si>
  <si>
    <t>ETH_RGMII_RXD0</t>
  </si>
  <si>
    <t>ETH_RGMII_RXD1</t>
  </si>
  <si>
    <t>ETH_RGMII_RXD2</t>
  </si>
  <si>
    <t>ETH_RGMII_RXD3</t>
  </si>
  <si>
    <t>ETH_RGMII_RX_CLK</t>
  </si>
  <si>
    <t>ETH_RGMII_GTX_CLK</t>
  </si>
  <si>
    <t>ETH_RGMII_TXD0</t>
  </si>
  <si>
    <t>ETH_RGMII_TXD1</t>
  </si>
  <si>
    <t>ETH_RGMII_TXD2</t>
  </si>
  <si>
    <t>ETH_RGMII_TXD3</t>
  </si>
  <si>
    <t>ETH_RGMII_TX_CTL</t>
  </si>
  <si>
    <t>ETH1_RGMII_RXC</t>
  </si>
  <si>
    <t>ETH1_RGMII_RXD0</t>
  </si>
  <si>
    <t>ETH1_RGMII_RXD1</t>
  </si>
  <si>
    <t>ETH1_RGMII_RXD2</t>
  </si>
  <si>
    <t>ETH1_RGMII_RXD3</t>
  </si>
  <si>
    <t>ETH1_RGMII_RX_CLK</t>
  </si>
  <si>
    <t>ETH1_RGMII_GTX_CLK</t>
  </si>
  <si>
    <t>ETH1_RGMII_TXD0</t>
  </si>
  <si>
    <t>ETH1_RGMII_TXD1</t>
  </si>
  <si>
    <t>ETH1_RGMII_TXD2</t>
  </si>
  <si>
    <t>ETH1_RGMII_TXD3</t>
  </si>
  <si>
    <t>ETH1_RGMII_TX_CTL</t>
  </si>
  <si>
    <t>CMD</t>
  </si>
  <si>
    <t>DAT0</t>
  </si>
  <si>
    <t>DAT1</t>
  </si>
  <si>
    <t>DAT2</t>
  </si>
  <si>
    <t>DAT3</t>
  </si>
  <si>
    <t>DAT4</t>
  </si>
  <si>
    <t>DAT5</t>
  </si>
  <si>
    <t>DAT6</t>
  </si>
  <si>
    <t>DAT7</t>
  </si>
  <si>
    <t>CLK</t>
  </si>
  <si>
    <t>eMMC_CMD_MPU</t>
  </si>
  <si>
    <t>eMMC_DAT0_MPU</t>
  </si>
  <si>
    <t>eMMC_DAT1_MPU</t>
  </si>
  <si>
    <t>eMMC_DAT2_MPU</t>
  </si>
  <si>
    <t>eMMC_DAT3_MPU</t>
  </si>
  <si>
    <t>eMMC_DAT4_MPU</t>
  </si>
  <si>
    <t>eMMC_DAT5_MPU</t>
  </si>
  <si>
    <t>eMMC_DAT6_MPU</t>
  </si>
  <si>
    <t>eMMC_DAT7_MPU</t>
  </si>
  <si>
    <t>eMMC_CLK_MPU</t>
  </si>
  <si>
    <t>STM32MP2 to Device length (mil)</t>
  </si>
  <si>
    <t>Via Length</t>
  </si>
  <si>
    <t>Via (Y/N)</t>
  </si>
  <si>
    <r>
      <rPr>
        <b/>
        <sz val="11"/>
        <color theme="1"/>
        <rFont val="Aptos Narrow"/>
        <family val="2"/>
      </rPr>
      <t>Δ</t>
    </r>
    <r>
      <rPr>
        <b/>
        <sz val="11.2"/>
        <color theme="1"/>
        <rFont val="Calibri"/>
        <family val="2"/>
      </rPr>
      <t xml:space="preserve"> from CLK</t>
    </r>
  </si>
  <si>
    <t>Deviation from maximum skew (%)</t>
  </si>
  <si>
    <t>Deviation from maximum length (%)</t>
  </si>
  <si>
    <t>Source to determine Maximum Propagation Delay</t>
  </si>
  <si>
    <r>
      <t xml:space="preserve">As of AN4667, maximum allowable skew is </t>
    </r>
    <r>
      <rPr>
        <b/>
        <u/>
        <sz val="11"/>
        <color theme="1"/>
        <rFont val="Calibri"/>
        <family val="2"/>
        <scheme val="minor"/>
      </rPr>
      <t>250ps @ 10mm</t>
    </r>
  </si>
  <si>
    <t>Maximum trace length is 120mm</t>
  </si>
  <si>
    <t xml:space="preserve">Length Safety Factor: </t>
  </si>
  <si>
    <t xml:space="preserve">Skew Safety Factor: </t>
  </si>
  <si>
    <t>Final Skew Tolerance:</t>
  </si>
  <si>
    <t>Final Max Length (mil):</t>
  </si>
  <si>
    <r>
      <t xml:space="preserve">Δ from Tolerance (mil) </t>
    </r>
    <r>
      <rPr>
        <b/>
        <u/>
        <sz val="11"/>
        <color theme="1"/>
        <rFont val="Aptos Narrow"/>
        <family val="2"/>
      </rPr>
      <t>±</t>
    </r>
    <r>
      <rPr>
        <b/>
        <u/>
        <sz val="10.1"/>
        <color theme="1"/>
        <rFont val="Calibri"/>
        <family val="2"/>
      </rPr>
      <t xml:space="preserve"> 5mil</t>
    </r>
  </si>
  <si>
    <t>DSI_D0P</t>
  </si>
  <si>
    <t>DSI_D0N</t>
  </si>
  <si>
    <t>DSI_CLK_P</t>
  </si>
  <si>
    <t>DSI_CLK_N</t>
  </si>
  <si>
    <t>DSI_D0_OUT_P</t>
  </si>
  <si>
    <t>DSI_D0_OUT_N</t>
  </si>
  <si>
    <t>DSI_CLK_OUT_P</t>
  </si>
  <si>
    <t xml:space="preserve">Via </t>
  </si>
  <si>
    <t>DSI_DATA_D0P</t>
  </si>
  <si>
    <t>DSI_DATA__D0N</t>
  </si>
  <si>
    <t>DSI_CLK_OUT_N</t>
  </si>
  <si>
    <t xml:space="preserve">eMMC_CLK </t>
  </si>
  <si>
    <t>eMMC_DAT7</t>
  </si>
  <si>
    <t>eMMC_CMD</t>
  </si>
  <si>
    <t>eMMC_DAT0</t>
  </si>
  <si>
    <t>eMMC_DAT1</t>
  </si>
  <si>
    <t>eMMC_DAT2</t>
  </si>
  <si>
    <t>eMMC_DAT3</t>
  </si>
  <si>
    <t>eMMC_DAT4</t>
  </si>
  <si>
    <t>eMMC_DAT5</t>
  </si>
  <si>
    <t>eMMC_DAT6</t>
  </si>
  <si>
    <t>DS</t>
  </si>
  <si>
    <t>RST</t>
  </si>
  <si>
    <t>eMMC_RST_MPU</t>
  </si>
  <si>
    <t>eMMC_RST</t>
  </si>
  <si>
    <t>eMMC_DS_MPU</t>
  </si>
  <si>
    <t xml:space="preserve">eMMC_DS  </t>
  </si>
  <si>
    <t>Reset doesn’t matter as much</t>
  </si>
  <si>
    <t>MMC2 -&gt; eMMC</t>
  </si>
  <si>
    <t>MMC3 -&gt; SDIO</t>
  </si>
  <si>
    <t>MMC31-&gt; SDMMC</t>
  </si>
  <si>
    <t>WIFI_SDMMC_CMD</t>
  </si>
  <si>
    <t>WIFI_SDMMC_DAT0</t>
  </si>
  <si>
    <t>WIFI_SDMMC_DAT1</t>
  </si>
  <si>
    <t>WIFI_SDMMC_DAT2</t>
  </si>
  <si>
    <t>WIFI_SDMMC_DAT3</t>
  </si>
  <si>
    <t>WIFI_SDMMC_CLK</t>
  </si>
  <si>
    <t>WIFI_SDIO_CMD</t>
  </si>
  <si>
    <t>WIFI_SDIO_DAT0</t>
  </si>
  <si>
    <t>WIFI_SDIO_DAT1</t>
  </si>
  <si>
    <t>WIFI_SDIO_DAT2</t>
  </si>
  <si>
    <t>WIFI_SDIO_DAT3</t>
  </si>
  <si>
    <t>WIFI_SDIO_CLK</t>
  </si>
  <si>
    <t>Total Length (mils)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</si>
</sst>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name val="Arial"/>
      <family val="2"/>
    </font>
    <font>
      <sz val="8"/>
      <name val="Calibri"/>
      <family val="2"/>
    </font>
    <font>
      <b/>
      <sz val="11"/>
      <color theme="1"/>
      <name val="Arial"/>
      <family val="2"/>
    </font>
    <font>
      <sz val="12"/>
      <color theme="1"/>
      <name val="Arial"/>
      <family val="2"/>
    </font>
    <font>
      <b/>
      <sz val="28"/>
      <color theme="1"/>
      <name val="Arial"/>
      <family val="2"/>
    </font>
    <font>
      <b/>
      <sz val="12"/>
      <color theme="1"/>
      <name val="Arial"/>
      <family val="2"/>
    </font>
    <font>
      <sz val="11"/>
      <color theme="1"/>
      <name val="Arial"/>
      <family val="2"/>
    </font>
    <font>
      <b/>
      <sz val="14"/>
      <color theme="1"/>
      <name val="Arial"/>
      <family val="2"/>
    </font>
    <font>
      <b/>
      <sz val="14"/>
      <name val="Arial"/>
      <family val="2"/>
    </font>
    <font>
      <b/>
      <sz val="11"/>
      <color rgb="FFFF0000"/>
      <name val="Arial"/>
      <family val="2"/>
    </font>
    <font>
      <b/>
      <sz val="16"/>
      <color theme="1"/>
      <name val="Arial"/>
      <family val="2"/>
    </font>
    <font>
      <b/>
      <sz val="11"/>
      <color rgb="FF00B050"/>
      <name val="Arial"/>
      <family val="2"/>
    </font>
    <font>
      <b/>
      <sz val="11"/>
      <color theme="1"/>
      <name val="Aptos Narrow"/>
      <family val="2"/>
    </font>
    <font>
      <b/>
      <sz val="7.7"/>
      <color theme="1"/>
      <name val="Arial"/>
      <family val="2"/>
    </font>
    <font>
      <b/>
      <sz val="11"/>
      <color theme="1"/>
      <name val="Calibri"/>
      <family val="2"/>
      <scheme val="minor"/>
    </font>
    <font>
      <sz val="8"/>
      <name val="Calibri"/>
      <family val="2"/>
      <scheme val="minor"/>
    </font>
    <font>
      <b/>
      <sz val="16"/>
      <color theme="1"/>
      <name val="Calibri"/>
      <family val="2"/>
      <scheme val="minor"/>
    </font>
    <font>
      <b/>
      <sz val="10.1"/>
      <color theme="1"/>
      <name val="Calibri"/>
      <family val="2"/>
    </font>
    <font>
      <b/>
      <sz val="16"/>
      <color theme="1"/>
      <name val="Aptos Narrow"/>
      <family val="2"/>
    </font>
    <font>
      <b/>
      <sz val="11"/>
      <color theme="1"/>
      <name val="Calibri"/>
      <family val="2"/>
    </font>
    <font>
      <b/>
      <sz val="11.2"/>
      <color theme="1"/>
      <name val="Calibri"/>
      <family val="2"/>
    </font>
    <font>
      <b/>
      <u/>
      <sz val="11"/>
      <color theme="1"/>
      <name val="Calibri"/>
      <family val="2"/>
      <scheme val="minor"/>
    </font>
    <font>
      <b/>
      <u/>
      <sz val="11"/>
      <color theme="1"/>
      <name val="Aptos Narrow"/>
      <family val="2"/>
    </font>
    <font>
      <b/>
      <u/>
      <sz val="10.1"/>
      <color theme="1"/>
      <name val="Calibri"/>
      <family val="2"/>
    </font>
  </fonts>
  <fills count="11">
    <fill>
      <patternFill patternType="none"/>
    </fill>
    <fill>
      <patternFill patternType="gray125"/>
    </fill>
    <fill>
      <patternFill patternType="solid">
        <fgColor theme="0"/>
        <bgColor indexed="64"/>
      </patternFill>
    </fill>
    <fill>
      <patternFill patternType="solid">
        <fgColor rgb="FF39A9DC"/>
        <bgColor indexed="64"/>
      </patternFill>
    </fill>
    <fill>
      <patternFill patternType="solid">
        <fgColor rgb="FFFFD300"/>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BFBFBF"/>
        <bgColor indexed="64"/>
      </patternFill>
    </fill>
    <fill>
      <patternFill patternType="solid">
        <fgColor theme="1" tint="0.14999847407452621"/>
        <bgColor indexed="64"/>
      </patternFill>
    </fill>
    <fill>
      <patternFill patternType="solid">
        <fgColor theme="1"/>
        <bgColor indexed="64"/>
      </patternFill>
    </fill>
    <fill>
      <patternFill patternType="solid">
        <fgColor theme="1" tint="4.9989318521683403E-2"/>
        <bgColor indexed="64"/>
      </patternFill>
    </fill>
  </fills>
  <borders count="51">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bottom style="medium">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12">
    <xf numFmtId="0" fontId="0" fillId="0" borderId="0" xfId="0"/>
    <xf numFmtId="0" fontId="3" fillId="2" borderId="0" xfId="0" applyFont="1" applyFill="1" applyAlignment="1">
      <alignment horizontal="center" vertical="center"/>
    </xf>
    <xf numFmtId="0" fontId="3" fillId="0" borderId="0" xfId="0" applyFont="1" applyAlignment="1">
      <alignment horizontal="center" vertical="center"/>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9"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xf numFmtId="0" fontId="1" fillId="3" borderId="18"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20" xfId="0" applyFont="1" applyFill="1" applyBorder="1" applyAlignment="1">
      <alignment horizontal="center" vertical="center"/>
    </xf>
    <xf numFmtId="0" fontId="1" fillId="3" borderId="8"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3" borderId="7"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pplyProtection="1">
      <alignment horizontal="center" vertical="center"/>
      <protection locked="0"/>
    </xf>
    <xf numFmtId="0" fontId="1" fillId="3" borderId="4" xfId="0" applyFont="1" applyFill="1" applyBorder="1" applyAlignment="1">
      <alignment horizontal="center" vertical="center"/>
    </xf>
    <xf numFmtId="0" fontId="1" fillId="3" borderId="1" xfId="0" applyFont="1" applyFill="1" applyBorder="1" applyAlignment="1" applyProtection="1">
      <alignment horizontal="center" vertical="center"/>
      <protection locked="0"/>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1" xfId="0" applyFont="1" applyBorder="1" applyAlignment="1">
      <alignment horizontal="center" vertical="center"/>
    </xf>
    <xf numFmtId="0" fontId="1" fillId="3" borderId="21" xfId="0" applyFont="1" applyFill="1" applyBorder="1" applyAlignment="1">
      <alignment horizontal="center" vertical="center"/>
    </xf>
    <xf numFmtId="0" fontId="10" fillId="0" borderId="0" xfId="0" quotePrefix="1" applyFont="1" applyAlignment="1">
      <alignment horizontal="left" vertical="center"/>
    </xf>
    <xf numFmtId="0" fontId="1" fillId="3" borderId="5"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28" xfId="0" applyFont="1" applyFill="1" applyBorder="1" applyAlignment="1">
      <alignment horizontal="center" vertical="center"/>
    </xf>
    <xf numFmtId="0" fontId="1" fillId="3" borderId="29" xfId="0" applyFont="1" applyFill="1" applyBorder="1" applyAlignment="1">
      <alignment horizontal="center" vertical="center"/>
    </xf>
    <xf numFmtId="0" fontId="1" fillId="3" borderId="27" xfId="0" applyFont="1" applyFill="1" applyBorder="1" applyAlignment="1">
      <alignment horizontal="center" vertical="center"/>
    </xf>
    <xf numFmtId="0" fontId="9" fillId="3" borderId="8" xfId="0" applyFont="1" applyFill="1" applyBorder="1" applyAlignment="1">
      <alignment horizontal="center" vertical="center"/>
    </xf>
    <xf numFmtId="0" fontId="8" fillId="0" borderId="0" xfId="0" applyFont="1" applyAlignment="1">
      <alignment horizontal="center" vertical="center"/>
    </xf>
    <xf numFmtId="0" fontId="1" fillId="0" borderId="16" xfId="0" applyFont="1" applyBorder="1" applyAlignment="1" applyProtection="1">
      <alignment horizontal="center" vertical="center"/>
      <protection locked="0"/>
    </xf>
    <xf numFmtId="0" fontId="1" fillId="0" borderId="1" xfId="0" applyFont="1" applyBorder="1" applyAlignment="1">
      <alignment horizontal="center" vertical="center"/>
    </xf>
    <xf numFmtId="0" fontId="1" fillId="0" borderId="7"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29" xfId="0" applyFont="1" applyBorder="1" applyAlignment="1">
      <alignment horizontal="center" vertical="center"/>
    </xf>
    <xf numFmtId="0" fontId="1" fillId="0" borderId="27" xfId="0" applyFont="1" applyBorder="1" applyAlignment="1">
      <alignment horizontal="center" vertical="center"/>
    </xf>
    <xf numFmtId="0" fontId="1" fillId="0" borderId="12"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0" xfId="0" applyFont="1" applyBorder="1" applyAlignment="1">
      <alignment horizontal="center" vertical="center"/>
    </xf>
    <xf numFmtId="14" fontId="7" fillId="0" borderId="0" xfId="0" applyNumberFormat="1" applyFont="1" applyAlignment="1" applyProtection="1">
      <alignment horizontal="left"/>
      <protection locked="0"/>
    </xf>
    <xf numFmtId="0" fontId="3" fillId="0" borderId="2" xfId="0" applyFont="1" applyBorder="1" applyAlignment="1">
      <alignment horizontal="left" vertical="center"/>
    </xf>
    <xf numFmtId="0" fontId="3" fillId="0" borderId="4" xfId="0" applyFont="1" applyBorder="1" applyAlignment="1">
      <alignment horizontal="left" vertical="center"/>
    </xf>
    <xf numFmtId="0" fontId="3" fillId="0" borderId="0" xfId="0" applyFont="1" applyAlignment="1">
      <alignment horizontal="left" vertical="center"/>
    </xf>
    <xf numFmtId="0" fontId="1" fillId="3" borderId="6" xfId="0" applyFont="1" applyFill="1" applyBorder="1" applyAlignment="1">
      <alignment horizontal="center" vertical="center" wrapText="1"/>
    </xf>
    <xf numFmtId="0" fontId="1" fillId="4" borderId="19" xfId="0" applyFont="1" applyFill="1" applyBorder="1" applyAlignment="1">
      <alignment horizontal="center" vertical="center"/>
    </xf>
    <xf numFmtId="0" fontId="3" fillId="3" borderId="3" xfId="0" applyFont="1" applyFill="1" applyBorder="1" applyAlignment="1">
      <alignment horizontal="center" vertical="center"/>
    </xf>
    <xf numFmtId="0" fontId="3" fillId="0" borderId="43" xfId="0" applyFont="1" applyBorder="1" applyAlignment="1">
      <alignment horizontal="center" vertical="center"/>
    </xf>
    <xf numFmtId="0" fontId="3" fillId="0" borderId="42" xfId="0" applyFont="1" applyBorder="1" applyAlignment="1">
      <alignment horizontal="center" vertical="center"/>
    </xf>
    <xf numFmtId="0" fontId="3" fillId="0" borderId="0" xfId="0" applyFont="1" applyAlignment="1">
      <alignment horizontal="left" vertical="top"/>
    </xf>
    <xf numFmtId="0" fontId="3" fillId="3" borderId="38" xfId="0" applyFont="1" applyFill="1" applyBorder="1" applyAlignment="1">
      <alignment horizontal="center" vertical="center"/>
    </xf>
    <xf numFmtId="0" fontId="3" fillId="3" borderId="0" xfId="0" applyFont="1" applyFill="1" applyAlignment="1">
      <alignment horizontal="center" vertical="center"/>
    </xf>
    <xf numFmtId="0" fontId="1" fillId="3" borderId="44" xfId="0" applyFont="1" applyFill="1" applyBorder="1" applyAlignment="1">
      <alignment horizontal="center" vertical="center" wrapText="1"/>
    </xf>
    <xf numFmtId="0" fontId="1" fillId="3" borderId="18"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3" borderId="12" xfId="0" applyFont="1" applyFill="1" applyBorder="1" applyAlignment="1">
      <alignment horizontal="left" vertical="center"/>
    </xf>
    <xf numFmtId="0" fontId="0" fillId="0" borderId="0" xfId="0" applyAlignment="1">
      <alignment horizontal="center"/>
    </xf>
    <xf numFmtId="0" fontId="1" fillId="3" borderId="45" xfId="0" applyFont="1" applyFill="1" applyBorder="1" applyAlignment="1">
      <alignment horizontal="center" vertical="center" wrapText="1"/>
    </xf>
    <xf numFmtId="0" fontId="1" fillId="3" borderId="46" xfId="0" applyFont="1" applyFill="1" applyBorder="1" applyAlignment="1">
      <alignment horizontal="center" vertical="center" wrapText="1"/>
    </xf>
    <xf numFmtId="0" fontId="0" fillId="3" borderId="0" xfId="0" applyFill="1"/>
    <xf numFmtId="0" fontId="15" fillId="3" borderId="3" xfId="0" applyFont="1" applyFill="1" applyBorder="1" applyAlignment="1">
      <alignment horizontal="center" vertical="center"/>
    </xf>
    <xf numFmtId="0" fontId="0" fillId="0" borderId="3" xfId="0" applyBorder="1"/>
    <xf numFmtId="0" fontId="15" fillId="0" borderId="0" xfId="0" applyFont="1"/>
    <xf numFmtId="0" fontId="15" fillId="0" borderId="0" xfId="0" applyFont="1" applyAlignment="1">
      <alignment horizontal="center"/>
    </xf>
    <xf numFmtId="0" fontId="4" fillId="0" borderId="0" xfId="0" applyFont="1" applyAlignment="1" applyProtection="1">
      <alignment horizontal="left" vertical="center"/>
      <protection locked="0"/>
    </xf>
    <xf numFmtId="0" fontId="7" fillId="0" borderId="0" xfId="0" applyFont="1" applyAlignment="1" applyProtection="1">
      <alignment horizontal="left"/>
      <protection locked="0"/>
    </xf>
    <xf numFmtId="0" fontId="7" fillId="0" borderId="0" xfId="0" applyFont="1" applyAlignment="1">
      <alignment horizontal="left"/>
    </xf>
    <xf numFmtId="0" fontId="7" fillId="0" borderId="0" xfId="0" applyFont="1" applyAlignment="1">
      <alignment horizontal="center"/>
    </xf>
    <xf numFmtId="0" fontId="0" fillId="0" borderId="0" xfId="0" applyAlignment="1">
      <alignment horizontal="center" vertical="center"/>
    </xf>
    <xf numFmtId="0" fontId="0" fillId="0" borderId="33" xfId="0" applyBorder="1"/>
    <xf numFmtId="0" fontId="17" fillId="0" borderId="0" xfId="0" applyFont="1" applyAlignment="1">
      <alignment horizontal="left"/>
    </xf>
    <xf numFmtId="0" fontId="0" fillId="0" borderId="14" xfId="0" applyBorder="1"/>
    <xf numFmtId="0" fontId="15" fillId="3" borderId="12" xfId="0" applyFont="1" applyFill="1" applyBorder="1" applyAlignment="1">
      <alignment horizontal="center" vertical="center"/>
    </xf>
    <xf numFmtId="0" fontId="0" fillId="8" borderId="0" xfId="0" applyFill="1"/>
    <xf numFmtId="0" fontId="15" fillId="0" borderId="3" xfId="0" applyFont="1" applyBorder="1" applyAlignment="1">
      <alignment horizontal="center"/>
    </xf>
    <xf numFmtId="0" fontId="1" fillId="3" borderId="47" xfId="0" applyFont="1" applyFill="1" applyBorder="1" applyAlignment="1">
      <alignment horizontal="center" vertical="center" wrapText="1"/>
    </xf>
    <xf numFmtId="0" fontId="0" fillId="9" borderId="3" xfId="0" applyFill="1" applyBorder="1"/>
    <xf numFmtId="0" fontId="0" fillId="9" borderId="3" xfId="0" applyFill="1" applyBorder="1" applyAlignment="1">
      <alignment horizontal="center" vertical="center"/>
    </xf>
    <xf numFmtId="0" fontId="0" fillId="0" borderId="33" xfId="0" applyBorder="1">
      <extLst>
        <ext xmlns:xfpb="http://schemas.microsoft.com/office/spreadsheetml/2022/featurepropertybag" uri="{C7286773-470A-42A8-94C5-96B5CB345126}">
          <xfpb:xfComplement i="0"/>
        </ext>
      </extLst>
    </xf>
    <xf numFmtId="0" fontId="0" fillId="10" borderId="3" xfId="0" applyFill="1" applyBorder="1"/>
    <xf numFmtId="0" fontId="0" fillId="10" borderId="33" xfId="0" applyFill="1" applyBorder="1"/>
    <xf numFmtId="0" fontId="0" fillId="10" borderId="14" xfId="0" applyFill="1" applyBorder="1"/>
    <xf numFmtId="0" fontId="0" fillId="0" borderId="0" xfId="0">
      <extLst>
        <ext xmlns:xfpb="http://schemas.microsoft.com/office/spreadsheetml/2022/featurepropertybag" uri="{C7286773-470A-42A8-94C5-96B5CB345126}">
          <xfpb:xfComplement i="0"/>
        </ext>
      </extLst>
    </xf>
    <xf numFmtId="0" fontId="0" fillId="10" borderId="0" xfId="0" applyFill="1"/>
    <xf numFmtId="0" fontId="15" fillId="3" borderId="3" xfId="0" applyFont="1" applyFill="1" applyBorder="1" applyAlignment="1">
      <alignment horizontal="center" vertical="center" wrapText="1"/>
    </xf>
    <xf numFmtId="0" fontId="0" fillId="0" borderId="3" xfId="0" applyBorder="1" applyAlignment="1">
      <alignment vertical="center"/>
    </xf>
    <xf numFmtId="0" fontId="17" fillId="0" borderId="0" xfId="0" applyFont="1"/>
    <xf numFmtId="0" fontId="15" fillId="3" borderId="3" xfId="0" applyFont="1" applyFill="1" applyBorder="1" applyAlignment="1">
      <alignment horizontal="center"/>
    </xf>
    <xf numFmtId="0" fontId="15" fillId="0" borderId="0" xfId="0" applyFont="1" applyAlignment="1">
      <alignment wrapText="1"/>
    </xf>
    <xf numFmtId="0" fontId="0" fillId="0" borderId="42" xfId="0" applyBorder="1" applyAlignment="1">
      <alignment vertical="center"/>
    </xf>
    <xf numFmtId="0" fontId="0" fillId="3" borderId="3" xfId="0" applyFill="1" applyBorder="1"/>
    <xf numFmtId="0" fontId="15" fillId="0" borderId="3" xfId="0" applyFont="1" applyBorder="1"/>
    <xf numFmtId="0" fontId="15" fillId="0" borderId="29" xfId="0" applyFont="1" applyBorder="1"/>
    <xf numFmtId="0" fontId="15" fillId="0" borderId="5" xfId="0" applyFont="1" applyBorder="1"/>
    <xf numFmtId="0" fontId="0" fillId="0" borderId="5" xfId="0" applyBorder="1"/>
    <xf numFmtId="0" fontId="0" fillId="0" borderId="29" xfId="0" applyBorder="1"/>
    <xf numFmtId="0" fontId="0" fillId="0" borderId="3" xfId="0" applyBorder="1">
      <extLst>
        <ext xmlns:xfpb="http://schemas.microsoft.com/office/spreadsheetml/2022/featurepropertybag" uri="{C7286773-470A-42A8-94C5-96B5CB345126}">
          <xfpb:xfComplement i="0"/>
        </ext>
      </extLst>
    </xf>
    <xf numFmtId="0" fontId="0" fillId="0" borderId="5" xfId="0" applyBorder="1">
      <extLst>
        <ext xmlns:xfpb="http://schemas.microsoft.com/office/spreadsheetml/2022/featurepropertybag" uri="{C7286773-470A-42A8-94C5-96B5CB345126}">
          <xfpb:xfComplement i="0"/>
        </ext>
      </extLst>
    </xf>
    <xf numFmtId="0" fontId="0" fillId="0" borderId="29" xfId="0" applyBorder="1">
      <extLst>
        <ext xmlns:xfpb="http://schemas.microsoft.com/office/spreadsheetml/2022/featurepropertybag" uri="{C7286773-470A-42A8-94C5-96B5CB345126}">
          <xfpb:xfComplement i="0"/>
        </ext>
      </extLst>
    </xf>
    <xf numFmtId="0" fontId="0" fillId="9" borderId="5" xfId="0" applyFill="1" applyBorder="1"/>
    <xf numFmtId="0" fontId="0" fillId="9" borderId="29" xfId="0" applyFill="1" applyBorder="1"/>
    <xf numFmtId="0" fontId="20" fillId="3" borderId="3" xfId="0" applyFont="1" applyFill="1" applyBorder="1" applyAlignment="1">
      <alignment horizontal="center"/>
    </xf>
    <xf numFmtId="0" fontId="15" fillId="3" borderId="3" xfId="0" applyFont="1" applyFill="1" applyBorder="1"/>
    <xf numFmtId="0" fontId="0" fillId="0" borderId="3" xfId="0" applyBorder="1" applyAlignment="1">
      <alignment horizontal="center" vertical="center"/>
    </xf>
    <xf numFmtId="0" fontId="0" fillId="0" borderId="12" xfId="0" applyBorder="1"/>
    <xf numFmtId="0" fontId="0" fillId="9" borderId="12" xfId="0" applyFill="1" applyBorder="1"/>
    <xf numFmtId="0" fontId="0" fillId="0" borderId="36" xfId="0" applyBorder="1"/>
    <xf numFmtId="0" fontId="0" fillId="9" borderId="3" xfId="0" applyFill="1" applyBorder="1" applyAlignment="1">
      <alignment vertical="center"/>
    </xf>
    <xf numFmtId="0" fontId="0" fillId="0" borderId="48" xfId="0" applyBorder="1" applyAlignment="1">
      <alignment vertical="center"/>
    </xf>
    <xf numFmtId="0" fontId="15" fillId="9" borderId="3" xfId="0" applyFont="1" applyFill="1" applyBorder="1" applyAlignment="1">
      <alignment horizontal="center" vertical="center"/>
    </xf>
    <xf numFmtId="0" fontId="15" fillId="9" borderId="12" xfId="0" applyFont="1" applyFill="1" applyBorder="1" applyAlignment="1">
      <alignment horizontal="center" vertical="center"/>
    </xf>
    <xf numFmtId="0" fontId="0" fillId="9" borderId="12" xfId="0" applyFill="1" applyBorder="1" applyAlignment="1">
      <alignment vertical="center"/>
    </xf>
    <xf numFmtId="0" fontId="4" fillId="0" borderId="0" xfId="0" applyFont="1" applyAlignment="1">
      <alignment horizontal="left" vertical="top" wrapText="1"/>
    </xf>
    <xf numFmtId="0" fontId="1" fillId="5" borderId="2" xfId="0" applyFont="1" applyFill="1" applyBorder="1" applyAlignment="1">
      <alignment horizontal="center" vertical="center"/>
    </xf>
    <xf numFmtId="0" fontId="9" fillId="3" borderId="16" xfId="0" applyFont="1" applyFill="1" applyBorder="1" applyAlignment="1">
      <alignment horizontal="center" vertical="center" textRotation="90"/>
    </xf>
    <xf numFmtId="0" fontId="9" fillId="3" borderId="17" xfId="0" applyFont="1" applyFill="1" applyBorder="1" applyAlignment="1">
      <alignment horizontal="center" vertical="center" textRotation="90"/>
    </xf>
    <xf numFmtId="0" fontId="9" fillId="3" borderId="10" xfId="0" applyFont="1" applyFill="1" applyBorder="1" applyAlignment="1">
      <alignment horizontal="center" vertical="center" textRotation="90"/>
    </xf>
    <xf numFmtId="0" fontId="9" fillId="3" borderId="20" xfId="0" applyFont="1" applyFill="1" applyBorder="1" applyAlignment="1">
      <alignment horizontal="center" vertical="center" textRotation="90"/>
    </xf>
    <xf numFmtId="0" fontId="12" fillId="6" borderId="0" xfId="0" applyFont="1" applyFill="1" applyAlignment="1">
      <alignment horizontal="left" vertical="center"/>
    </xf>
    <xf numFmtId="0" fontId="1" fillId="0" borderId="33" xfId="0" applyFont="1" applyBorder="1" applyAlignment="1">
      <alignment horizontal="center" vertical="center"/>
    </xf>
    <xf numFmtId="0" fontId="1" fillId="0" borderId="34" xfId="0" applyFont="1" applyBorder="1" applyAlignment="1">
      <alignment horizontal="center" vertical="center"/>
    </xf>
    <xf numFmtId="0" fontId="1" fillId="5" borderId="32" xfId="0" applyFont="1" applyFill="1" applyBorder="1" applyAlignment="1">
      <alignment horizontal="center" vertical="center"/>
    </xf>
    <xf numFmtId="0" fontId="1" fillId="5" borderId="33" xfId="0" applyFont="1" applyFill="1" applyBorder="1" applyAlignment="1">
      <alignment horizontal="center" vertical="center"/>
    </xf>
    <xf numFmtId="0" fontId="1" fillId="7" borderId="32" xfId="0" applyFont="1" applyFill="1" applyBorder="1" applyAlignment="1">
      <alignment horizontal="center" vertical="center"/>
    </xf>
    <xf numFmtId="0" fontId="1" fillId="7" borderId="33" xfId="0" applyFont="1" applyFill="1" applyBorder="1" applyAlignment="1">
      <alignment horizontal="center" vertical="center"/>
    </xf>
    <xf numFmtId="0" fontId="1" fillId="7" borderId="34" xfId="0" applyFont="1" applyFill="1" applyBorder="1" applyAlignment="1">
      <alignment horizontal="center" vertical="center"/>
    </xf>
    <xf numFmtId="0" fontId="3" fillId="3" borderId="38" xfId="0" applyFont="1" applyFill="1" applyBorder="1" applyAlignment="1">
      <alignment horizontal="center" vertical="center"/>
    </xf>
    <xf numFmtId="0" fontId="3" fillId="3" borderId="0" xfId="0" applyFont="1" applyFill="1" applyAlignment="1">
      <alignment horizontal="center" vertical="center"/>
    </xf>
    <xf numFmtId="0" fontId="3" fillId="0" borderId="37" xfId="0" applyFont="1" applyBorder="1" applyAlignment="1">
      <alignment horizontal="center" vertical="center"/>
    </xf>
    <xf numFmtId="0" fontId="3" fillId="0" borderId="35" xfId="0" applyFont="1" applyBorder="1" applyAlignment="1">
      <alignment horizontal="center" vertical="center"/>
    </xf>
    <xf numFmtId="0" fontId="11" fillId="2" borderId="0" xfId="0" applyFont="1" applyFill="1" applyAlignment="1">
      <alignment horizontal="center" vertical="center"/>
    </xf>
    <xf numFmtId="0" fontId="1" fillId="5" borderId="21" xfId="0" applyFont="1" applyFill="1" applyBorder="1" applyAlignment="1">
      <alignment horizontal="center" vertical="center"/>
    </xf>
    <xf numFmtId="0" fontId="1" fillId="5" borderId="27" xfId="0" applyFont="1" applyFill="1" applyBorder="1" applyAlignment="1">
      <alignment horizontal="center" vertical="center"/>
    </xf>
    <xf numFmtId="0" fontId="3" fillId="0" borderId="30" xfId="0" applyFont="1" applyBorder="1" applyAlignment="1">
      <alignment horizontal="left" wrapText="1"/>
    </xf>
    <xf numFmtId="0" fontId="3" fillId="0" borderId="31" xfId="0" applyFont="1" applyBorder="1" applyAlignment="1">
      <alignment horizontal="left" wrapText="1"/>
    </xf>
    <xf numFmtId="0" fontId="3" fillId="0" borderId="35" xfId="0" applyFont="1" applyBorder="1" applyAlignment="1">
      <alignment horizontal="left" vertical="center" wrapText="1"/>
    </xf>
    <xf numFmtId="0" fontId="3" fillId="0" borderId="22" xfId="0" applyFont="1" applyBorder="1" applyAlignment="1">
      <alignment horizontal="left" vertical="center" wrapText="1"/>
    </xf>
    <xf numFmtId="0" fontId="3" fillId="0" borderId="36" xfId="0" applyFont="1" applyBorder="1" applyAlignment="1">
      <alignment horizontal="left" vertical="center" wrapText="1"/>
    </xf>
    <xf numFmtId="0" fontId="3" fillId="0" borderId="23" xfId="0" applyFont="1" applyBorder="1" applyAlignment="1">
      <alignment horizontal="left" vertical="center" wrapText="1"/>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5" borderId="3"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12" xfId="0" applyFont="1" applyFill="1" applyBorder="1" applyAlignment="1">
      <alignment horizontal="center" vertical="center"/>
    </xf>
    <xf numFmtId="0" fontId="1" fillId="5" borderId="37" xfId="0" applyFont="1" applyFill="1" applyBorder="1" applyAlignment="1">
      <alignment horizontal="center" vertical="center"/>
    </xf>
    <xf numFmtId="0" fontId="1" fillId="5" borderId="38" xfId="0" applyFont="1" applyFill="1" applyBorder="1" applyAlignment="1">
      <alignment horizontal="center" vertical="center"/>
    </xf>
    <xf numFmtId="0" fontId="1" fillId="5" borderId="39" xfId="0" applyFont="1" applyFill="1" applyBorder="1" applyAlignment="1">
      <alignment horizontal="center" vertical="center"/>
    </xf>
    <xf numFmtId="0" fontId="9" fillId="3" borderId="24" xfId="0" applyFont="1" applyFill="1" applyBorder="1" applyAlignment="1">
      <alignment horizontal="center" vertical="center" textRotation="90"/>
    </xf>
    <xf numFmtId="0" fontId="9" fillId="3" borderId="25" xfId="0" applyFont="1" applyFill="1" applyBorder="1" applyAlignment="1">
      <alignment horizontal="center" vertical="center" textRotation="90"/>
    </xf>
    <xf numFmtId="0" fontId="9" fillId="3" borderId="26" xfId="0" applyFont="1" applyFill="1" applyBorder="1" applyAlignment="1">
      <alignment horizontal="center" vertical="center" textRotation="90"/>
    </xf>
    <xf numFmtId="0" fontId="3" fillId="3" borderId="43" xfId="0" applyFont="1" applyFill="1" applyBorder="1" applyAlignment="1">
      <alignment horizontal="center" vertical="center"/>
    </xf>
    <xf numFmtId="0" fontId="0" fillId="0" borderId="42" xfId="0" applyBorder="1" applyAlignment="1">
      <alignment horizontal="center" vertical="center"/>
    </xf>
    <xf numFmtId="0" fontId="0" fillId="0" borderId="29" xfId="0" applyBorder="1" applyAlignment="1">
      <alignment horizontal="center" vertical="center"/>
    </xf>
    <xf numFmtId="0" fontId="15" fillId="3" borderId="3" xfId="0" applyFont="1" applyFill="1" applyBorder="1" applyAlignment="1">
      <alignment horizontal="center"/>
    </xf>
    <xf numFmtId="0" fontId="17" fillId="0" borderId="0" xfId="0" applyFont="1" applyAlignment="1">
      <alignment horizontal="left"/>
    </xf>
    <xf numFmtId="0" fontId="0" fillId="0" borderId="3" xfId="0" applyBorder="1" applyAlignment="1">
      <alignment horizontal="center"/>
    </xf>
    <xf numFmtId="0" fontId="0" fillId="0" borderId="3" xfId="0" applyBorder="1" applyAlignment="1">
      <alignment horizontal="center" vertical="center"/>
    </xf>
    <xf numFmtId="0" fontId="0" fillId="0" borderId="12" xfId="0" applyBorder="1" applyAlignment="1">
      <alignment horizontal="center" vertical="center"/>
    </xf>
    <xf numFmtId="0" fontId="0" fillId="0" borderId="48" xfId="0" applyBorder="1" applyAlignment="1">
      <alignment horizontal="center" vertical="center"/>
    </xf>
    <xf numFmtId="0" fontId="0" fillId="9" borderId="12" xfId="0" applyFill="1" applyBorder="1" applyAlignment="1">
      <alignment horizontal="center" vertical="center"/>
    </xf>
    <xf numFmtId="0" fontId="0" fillId="9" borderId="48" xfId="0" applyFill="1" applyBorder="1" applyAlignment="1">
      <alignment horizontal="center" vertical="center"/>
    </xf>
    <xf numFmtId="0" fontId="0" fillId="9" borderId="3" xfId="0" applyFill="1" applyBorder="1" applyAlignment="1">
      <alignment horizontal="center"/>
    </xf>
    <xf numFmtId="0" fontId="0" fillId="0" borderId="12" xfId="0" applyBorder="1" applyAlignment="1">
      <alignment horizontal="center" vertical="center"/>
      <extLst>
        <ext xmlns:xfpb="http://schemas.microsoft.com/office/spreadsheetml/2022/featurepropertybag" uri="{C7286773-470A-42A8-94C5-96B5CB345126}">
          <xfpb:xfComplement i="0"/>
        </ext>
      </extLst>
    </xf>
    <xf numFmtId="0" fontId="0" fillId="0" borderId="29" xfId="0" applyBorder="1" applyAlignment="1">
      <alignment horizontal="center" vertical="center"/>
      <extLst>
        <ext xmlns:xfpb="http://schemas.microsoft.com/office/spreadsheetml/2022/featurepropertybag" uri="{C7286773-470A-42A8-94C5-96B5CB345126}">
          <xfpb:xfComplement i="0"/>
        </ext>
      </extLst>
    </xf>
    <xf numFmtId="0" fontId="15" fillId="0" borderId="12" xfId="0" applyFont="1" applyBorder="1" applyAlignment="1">
      <alignment horizontal="center" vertical="center"/>
    </xf>
    <xf numFmtId="0" fontId="15" fillId="0" borderId="29" xfId="0" applyFont="1" applyBorder="1" applyAlignment="1">
      <alignment horizontal="center" vertical="center"/>
    </xf>
    <xf numFmtId="0" fontId="15" fillId="3" borderId="40" xfId="0" applyFont="1" applyFill="1" applyBorder="1" applyAlignment="1">
      <alignment horizontal="center" vertical="center" textRotation="90"/>
    </xf>
    <xf numFmtId="0" fontId="15" fillId="3" borderId="38" xfId="0" applyFont="1" applyFill="1" applyBorder="1" applyAlignment="1">
      <alignment horizontal="center" vertical="center" textRotation="90"/>
    </xf>
    <xf numFmtId="0" fontId="15" fillId="3" borderId="39" xfId="0" applyFont="1" applyFill="1" applyBorder="1" applyAlignment="1">
      <alignment horizontal="center" vertical="center" textRotation="90"/>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0" fillId="0" borderId="12" xfId="0" applyBorder="1" applyAlignment="1">
      <alignment horizontal="center"/>
    </xf>
    <xf numFmtId="0" fontId="0" fillId="0" borderId="29" xfId="0" applyBorder="1" applyAlignment="1">
      <alignment horizontal="center"/>
    </xf>
    <xf numFmtId="0" fontId="0" fillId="0" borderId="48" xfId="0" applyBorder="1" applyAlignment="1">
      <alignment horizontal="center"/>
    </xf>
    <xf numFmtId="0" fontId="15" fillId="0" borderId="0" xfId="0" applyFont="1" applyAlignment="1">
      <alignment horizontal="center" vertical="center"/>
    </xf>
    <xf numFmtId="0" fontId="15" fillId="0" borderId="36" xfId="0" applyFont="1" applyBorder="1" applyAlignment="1">
      <alignment horizontal="center" vertical="center"/>
    </xf>
    <xf numFmtId="0" fontId="0" fillId="0" borderId="48" xfId="0" applyBorder="1" applyAlignment="1">
      <alignment horizontal="center" vertical="center"/>
      <extLst>
        <ext xmlns:xfpb="http://schemas.microsoft.com/office/spreadsheetml/2022/featurepropertybag" uri="{C7286773-470A-42A8-94C5-96B5CB345126}">
          <xfpb:xfComplement i="0"/>
        </ext>
      </extLst>
    </xf>
    <xf numFmtId="0" fontId="0" fillId="0" borderId="42" xfId="0" applyBorder="1" applyAlignment="1">
      <alignment horizontal="center"/>
    </xf>
    <xf numFmtId="0" fontId="0" fillId="0" borderId="46" xfId="0" applyBorder="1" applyAlignment="1">
      <alignment horizontal="center" vertical="center"/>
      <extLst>
        <ext xmlns:xfpb="http://schemas.microsoft.com/office/spreadsheetml/2022/featurepropertybag" uri="{C7286773-470A-42A8-94C5-96B5CB345126}">
          <xfpb:xfComplement i="0"/>
        </ext>
      </extLst>
    </xf>
    <xf numFmtId="0" fontId="0" fillId="9" borderId="42" xfId="0" applyFill="1" applyBorder="1" applyAlignment="1">
      <alignment horizontal="center"/>
    </xf>
    <xf numFmtId="0" fontId="0" fillId="9" borderId="29" xfId="0" applyFill="1" applyBorder="1" applyAlignment="1">
      <alignment horizontal="center"/>
    </xf>
    <xf numFmtId="0" fontId="0" fillId="9" borderId="12" xfId="0" applyFill="1" applyBorder="1" applyAlignment="1">
      <alignment horizontal="center"/>
    </xf>
    <xf numFmtId="0" fontId="0" fillId="9" borderId="48" xfId="0" applyFill="1" applyBorder="1" applyAlignment="1">
      <alignment horizontal="center"/>
    </xf>
    <xf numFmtId="0" fontId="0" fillId="0" borderId="42" xfId="0" applyBorder="1" applyAlignment="1">
      <alignment horizontal="center" vertical="center"/>
      <extLst>
        <ext xmlns:xfpb="http://schemas.microsoft.com/office/spreadsheetml/2022/featurepropertybag" uri="{C7286773-470A-42A8-94C5-96B5CB345126}">
          <xfpb:xfComplement i="0"/>
        </ext>
      </extLst>
    </xf>
    <xf numFmtId="0" fontId="0" fillId="0" borderId="46" xfId="0" applyBorder="1" applyAlignment="1">
      <alignment horizontal="center"/>
    </xf>
    <xf numFmtId="0" fontId="15" fillId="3" borderId="3" xfId="0" applyFont="1" applyFill="1" applyBorder="1" applyAlignment="1">
      <alignment horizontal="center" vertical="center" textRotation="90"/>
    </xf>
    <xf numFmtId="0" fontId="15" fillId="3" borderId="33" xfId="0" applyFont="1" applyFill="1" applyBorder="1" applyAlignment="1">
      <alignment horizontal="center" vertical="center" textRotation="90"/>
    </xf>
    <xf numFmtId="0" fontId="15" fillId="0" borderId="42" xfId="0" applyFont="1" applyBorder="1" applyAlignment="1">
      <alignment horizontal="center"/>
    </xf>
    <xf numFmtId="0" fontId="15" fillId="0" borderId="29" xfId="0" applyFont="1" applyBorder="1" applyAlignment="1">
      <alignment horizontal="center"/>
    </xf>
    <xf numFmtId="0" fontId="15" fillId="0" borderId="12" xfId="0" applyFont="1" applyBorder="1" applyAlignment="1">
      <alignment horizontal="center"/>
    </xf>
    <xf numFmtId="0" fontId="15" fillId="0" borderId="48" xfId="0" applyFont="1" applyBorder="1" applyAlignment="1">
      <alignment horizontal="center"/>
    </xf>
    <xf numFmtId="0" fontId="15" fillId="3" borderId="12" xfId="0" applyFont="1" applyFill="1" applyBorder="1" applyAlignment="1">
      <alignment horizontal="center" vertical="center"/>
    </xf>
    <xf numFmtId="0" fontId="15" fillId="3" borderId="29" xfId="0" applyFont="1" applyFill="1" applyBorder="1" applyAlignment="1">
      <alignment horizontal="center" vertical="center"/>
    </xf>
    <xf numFmtId="0" fontId="15" fillId="3" borderId="42" xfId="0" applyFont="1" applyFill="1" applyBorder="1" applyAlignment="1">
      <alignment horizontal="center" vertical="center"/>
    </xf>
    <xf numFmtId="0" fontId="15" fillId="0" borderId="42" xfId="0" applyFont="1" applyBorder="1" applyAlignment="1">
      <alignment horizontal="center" vertical="center"/>
    </xf>
    <xf numFmtId="0" fontId="15" fillId="3" borderId="12" xfId="0" applyFont="1" applyFill="1" applyBorder="1" applyAlignment="1">
      <alignment horizontal="center" vertical="center" wrapText="1"/>
    </xf>
    <xf numFmtId="0" fontId="15" fillId="3" borderId="4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29" xfId="0" applyFont="1" applyFill="1" applyBorder="1" applyAlignment="1">
      <alignment horizontal="center" vertical="center" wrapText="1"/>
    </xf>
    <xf numFmtId="0" fontId="15" fillId="3" borderId="3" xfId="0" applyFont="1" applyFill="1" applyBorder="1" applyAlignment="1">
      <alignment horizontal="center" vertical="center"/>
    </xf>
    <xf numFmtId="0" fontId="0" fillId="9" borderId="29" xfId="0" applyFill="1" applyBorder="1" applyAlignment="1">
      <alignment horizontal="center" vertical="center"/>
    </xf>
  </cellXfs>
  <cellStyles count="1">
    <cellStyle name="Normal" xfId="0" builtinId="0"/>
  </cellStyles>
  <dxfs count="20">
    <dxf>
      <fill>
        <patternFill>
          <bgColor theme="0"/>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ont>
        <b/>
        <i val="0"/>
        <strike val="0"/>
        <color rgb="FF00B050"/>
      </font>
      <fill>
        <patternFill>
          <bgColor theme="6" tint="0.79998168889431442"/>
        </patternFill>
      </fill>
      <border>
        <vertical/>
        <horizontal/>
      </border>
    </dxf>
    <dxf>
      <font>
        <b/>
        <i val="0"/>
      </font>
    </dxf>
    <dxf>
      <font>
        <b/>
        <i val="0"/>
        <strike val="0"/>
        <color rgb="FF00B050"/>
      </font>
      <fill>
        <patternFill>
          <bgColor theme="6" tint="0.79998168889431442"/>
        </patternFill>
      </fill>
      <border>
        <vertical/>
        <horizontal/>
      </border>
    </dxf>
    <dxf>
      <font>
        <b/>
        <i val="0"/>
        <strike val="0"/>
        <color rgb="FF00B050"/>
      </font>
      <fill>
        <patternFill>
          <bgColor theme="6" tint="0.79998168889431442"/>
        </patternFill>
      </fill>
      <border>
        <vertical/>
        <horizontal/>
      </border>
    </dxf>
    <dxf>
      <font>
        <b/>
        <i val="0"/>
      </font>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
      <font>
        <b/>
        <i val="0"/>
        <strike val="0"/>
        <color rgb="FF00B050"/>
      </font>
      <fill>
        <patternFill>
          <bgColor theme="6" tint="0.79998168889431442"/>
        </patternFill>
      </fill>
      <border>
        <vertical/>
        <horizontal/>
      </border>
    </dxf>
    <dxf>
      <font>
        <b/>
        <i val="0"/>
        <strike val="0"/>
        <color auto="1"/>
        <name val="Cambria"/>
        <scheme val="none"/>
      </font>
      <fill>
        <patternFill>
          <bgColor rgb="FF39A9DC"/>
        </patternFill>
      </fill>
    </dxf>
    <dxf>
      <font>
        <b/>
        <i val="0"/>
        <strike val="0"/>
        <color auto="1"/>
        <name val="Cambria"/>
        <scheme val="none"/>
      </font>
      <fill>
        <patternFill>
          <bgColor rgb="FFFFD300"/>
        </patternFill>
      </fill>
    </dxf>
    <dxf>
      <font>
        <b/>
        <i val="0"/>
        <strike val="0"/>
        <color auto="1"/>
        <name val="Cambria"/>
        <scheme val="none"/>
      </font>
      <fill>
        <patternFill>
          <bgColor rgb="FFFFD300"/>
        </patternFill>
      </fill>
    </dxf>
    <dxf>
      <font>
        <b/>
        <i val="0"/>
        <strike val="0"/>
        <color auto="1"/>
      </font>
      <fill>
        <patternFill>
          <bgColor rgb="FF39A9DC"/>
        </patternFill>
      </fill>
    </dxf>
  </dxfs>
  <tableStyles count="0" defaultTableStyle="TableStyleMedium2" defaultPivotStyle="PivotStyleLight16"/>
  <colors>
    <mruColors>
      <color rgb="FF39A9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18</xdr:row>
      <xdr:rowOff>9338</xdr:rowOff>
    </xdr:from>
    <xdr:to>
      <xdr:col>4</xdr:col>
      <xdr:colOff>61913</xdr:colOff>
      <xdr:row>18</xdr:row>
      <xdr:rowOff>71251</xdr:rowOff>
    </xdr:to>
    <xdr:pic>
      <xdr:nvPicPr>
        <xdr:cNvPr id="2" name="Picture 1">
          <a:extLst>
            <a:ext uri="{FF2B5EF4-FFF2-40B4-BE49-F238E27FC236}">
              <a16:creationId xmlns:a16="http://schemas.microsoft.com/office/drawing/2014/main" id="{C9422100-DD2A-4E0B-81B1-0487275910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57427" y="4622426"/>
          <a:ext cx="61913" cy="619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4"/>
  <sheetViews>
    <sheetView zoomScale="85" zoomScaleNormal="85" workbookViewId="0">
      <selection activeCell="D24" sqref="D24"/>
    </sheetView>
  </sheetViews>
  <sheetFormatPr defaultColWidth="9" defaultRowHeight="15" x14ac:dyDescent="0.35"/>
  <cols>
    <col min="1" max="1" width="39.86328125" style="12" customWidth="1"/>
    <col min="2" max="2" width="54.59765625" style="12" customWidth="1"/>
    <col min="3" max="3" width="23" style="15" customWidth="1"/>
    <col min="4" max="4" width="18" style="12" customWidth="1"/>
    <col min="5" max="5" width="11.3984375" style="15" customWidth="1"/>
    <col min="6" max="6" width="11" style="12" customWidth="1"/>
    <col min="7" max="8" width="10.59765625" style="12" customWidth="1"/>
    <col min="9" max="16384" width="9" style="12"/>
  </cols>
  <sheetData>
    <row r="1" spans="2:10" x14ac:dyDescent="0.45">
      <c r="C1" s="12"/>
      <c r="E1" s="12"/>
    </row>
    <row r="2" spans="2:10" ht="35.25" x14ac:dyDescent="0.45">
      <c r="B2" s="13" t="s">
        <v>253</v>
      </c>
      <c r="C2" s="12"/>
      <c r="E2" s="12"/>
    </row>
    <row r="3" spans="2:10" x14ac:dyDescent="0.45">
      <c r="B3" s="14" t="s">
        <v>41</v>
      </c>
      <c r="C3" s="75" t="s">
        <v>254</v>
      </c>
      <c r="E3" s="12"/>
    </row>
    <row r="4" spans="2:10" x14ac:dyDescent="0.35">
      <c r="B4" s="14" t="s">
        <v>42</v>
      </c>
      <c r="C4" s="76" t="s">
        <v>255</v>
      </c>
      <c r="E4" s="12"/>
    </row>
    <row r="5" spans="2:10" x14ac:dyDescent="0.45">
      <c r="B5" s="14" t="s">
        <v>43</v>
      </c>
      <c r="C5" s="75">
        <v>1</v>
      </c>
      <c r="E5" s="12"/>
    </row>
    <row r="6" spans="2:10" x14ac:dyDescent="0.45">
      <c r="B6" s="14" t="s">
        <v>44</v>
      </c>
      <c r="C6" s="75">
        <v>1</v>
      </c>
      <c r="E6" s="12"/>
    </row>
    <row r="7" spans="2:10" x14ac:dyDescent="0.35">
      <c r="B7" s="14" t="s">
        <v>45</v>
      </c>
      <c r="C7" s="51">
        <v>45908</v>
      </c>
      <c r="E7" s="12"/>
    </row>
    <row r="8" spans="2:10" x14ac:dyDescent="0.35">
      <c r="C8" s="77"/>
      <c r="E8" s="12"/>
    </row>
    <row r="9" spans="2:10" x14ac:dyDescent="0.35">
      <c r="C9" s="77"/>
    </row>
    <row r="10" spans="2:10" x14ac:dyDescent="0.35">
      <c r="B10" s="14" t="s">
        <v>256</v>
      </c>
      <c r="C10" s="77"/>
    </row>
    <row r="11" spans="2:10" x14ac:dyDescent="0.35">
      <c r="B11" s="12" t="s">
        <v>257</v>
      </c>
      <c r="C11" s="78">
        <v>3.5</v>
      </c>
    </row>
    <row r="16" spans="2:10" ht="42" customHeight="1" x14ac:dyDescent="0.45">
      <c r="B16" s="123" t="s">
        <v>193</v>
      </c>
      <c r="C16" s="123"/>
      <c r="D16" s="123"/>
      <c r="E16" s="123"/>
      <c r="F16" s="123"/>
      <c r="G16" s="123"/>
      <c r="H16" s="123"/>
      <c r="I16" s="123"/>
      <c r="J16" s="123"/>
    </row>
    <row r="18" spans="2:3" x14ac:dyDescent="0.35">
      <c r="B18" s="14" t="s">
        <v>311</v>
      </c>
    </row>
    <row r="19" spans="2:3" x14ac:dyDescent="0.35">
      <c r="B19" s="12" t="s">
        <v>312</v>
      </c>
      <c r="C19" s="15">
        <v>74.933999999999997</v>
      </c>
    </row>
    <row r="20" spans="2:3" x14ac:dyDescent="0.35">
      <c r="B20" s="12" t="s">
        <v>313</v>
      </c>
      <c r="C20" s="15">
        <v>55.473999999999997</v>
      </c>
    </row>
    <row r="21" spans="2:3" x14ac:dyDescent="0.35">
      <c r="B21" s="12" t="s">
        <v>314</v>
      </c>
      <c r="C21" s="15">
        <v>14.161</v>
      </c>
    </row>
    <row r="22" spans="2:3" x14ac:dyDescent="0.35">
      <c r="B22" s="12" t="s">
        <v>315</v>
      </c>
      <c r="C22" s="15">
        <v>19.46</v>
      </c>
    </row>
    <row r="23" spans="2:3" x14ac:dyDescent="0.35">
      <c r="B23" s="12" t="s">
        <v>317</v>
      </c>
      <c r="C23" s="15">
        <v>5.2990000000000004</v>
      </c>
    </row>
    <row r="24" spans="2:3" x14ac:dyDescent="0.35">
      <c r="B24" s="12" t="s">
        <v>318</v>
      </c>
      <c r="C24" s="15">
        <v>60.773000000000003</v>
      </c>
    </row>
  </sheetData>
  <mergeCells count="1">
    <mergeCell ref="B16:J16"/>
  </mergeCells>
  <conditionalFormatting sqref="B3:B7 D8">
    <cfRule type="colorScale" priority="216">
      <colorScale>
        <cfvo type="min"/>
        <cfvo type="percentile" val="50"/>
        <cfvo type="max"/>
        <color rgb="FF63BE7B"/>
        <color rgb="FFFFEB84"/>
        <color rgb="FFF8696B"/>
      </colorScale>
    </cfRule>
  </conditionalFormatting>
  <conditionalFormatting sqref="B5">
    <cfRule type="colorScale" priority="12">
      <colorScale>
        <cfvo type="min"/>
        <cfvo type="percentile" val="50"/>
        <cfvo type="max"/>
        <color rgb="FF63BE7B"/>
        <color rgb="FFFFEB84"/>
        <color rgb="FFF8696B"/>
      </colorScale>
    </cfRule>
  </conditionalFormatting>
  <conditionalFormatting sqref="B6">
    <cfRule type="colorScale" priority="11">
      <colorScale>
        <cfvo type="min"/>
        <cfvo type="percentile" val="50"/>
        <cfvo type="max"/>
        <color rgb="FF63BE7B"/>
        <color rgb="FFFFEB84"/>
        <color rgb="FFF8696B"/>
      </colorScale>
    </cfRule>
  </conditionalFormatting>
  <conditionalFormatting sqref="D8">
    <cfRule type="colorScale" priority="10">
      <colorScale>
        <cfvo type="min"/>
        <cfvo type="percentile" val="50"/>
        <cfvo type="max"/>
        <color rgb="FF63BE7B"/>
        <color rgb="FFFFEB84"/>
        <color rgb="FFF8696B"/>
      </colorScale>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oddFooter>Page &amp;P de &amp;N&amp;R&amp;1#&amp;"Arial"&amp;12&amp;KFF0000ST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86"/>
  <sheetViews>
    <sheetView topLeftCell="C39" zoomScaleNormal="100" workbookViewId="0">
      <selection activeCell="F41" sqref="F41"/>
    </sheetView>
  </sheetViews>
  <sheetFormatPr defaultColWidth="11.3984375" defaultRowHeight="17.649999999999999" x14ac:dyDescent="0.45"/>
  <cols>
    <col min="1" max="1" width="8" style="39" bestFit="1" customWidth="1"/>
    <col min="2" max="2" width="18" style="2" bestFit="1" customWidth="1"/>
    <col min="3" max="3" width="21.265625" style="2" customWidth="1"/>
    <col min="4" max="4" width="26.265625" style="2" customWidth="1"/>
    <col min="5" max="5" width="20.86328125" style="2" customWidth="1"/>
    <col min="6" max="6" width="24" style="2" customWidth="1"/>
    <col min="7" max="7" width="11.59765625" style="2" customWidth="1"/>
    <col min="8" max="8" width="30.3984375" style="2" customWidth="1"/>
    <col min="9" max="9" width="28.265625" style="2" customWidth="1"/>
    <col min="10" max="11" width="21.19921875" style="2" customWidth="1"/>
    <col min="12" max="12" width="25.06640625" style="2" customWidth="1"/>
    <col min="13" max="13" width="106.59765625" style="2" customWidth="1"/>
    <col min="14" max="14" width="20.33203125" style="2" customWidth="1"/>
    <col min="15" max="15" width="19.33203125" style="2" customWidth="1"/>
    <col min="16" max="20" width="11.3984375" style="2"/>
    <col min="21" max="21" width="15.3984375" style="2" customWidth="1"/>
    <col min="22" max="16384" width="11.3984375" style="2"/>
  </cols>
  <sheetData>
    <row r="1" spans="1:15" s="1" customFormat="1" ht="36" customHeight="1" thickBot="1" x14ac:dyDescent="0.45">
      <c r="A1" s="141" t="s">
        <v>292</v>
      </c>
      <c r="B1" s="141"/>
      <c r="C1" s="141"/>
      <c r="D1" s="141"/>
      <c r="E1" s="141"/>
      <c r="F1" s="141"/>
      <c r="G1" s="141"/>
      <c r="H1" s="141"/>
      <c r="I1" s="141"/>
      <c r="L1" s="144"/>
      <c r="M1" s="145"/>
    </row>
    <row r="2" spans="1:15" ht="75" customHeight="1" thickBot="1" x14ac:dyDescent="0.5">
      <c r="A2" s="38"/>
      <c r="B2" s="20" t="s">
        <v>142</v>
      </c>
      <c r="C2" s="5" t="s">
        <v>0</v>
      </c>
      <c r="D2" s="63" t="s">
        <v>194</v>
      </c>
      <c r="E2" s="65" t="s">
        <v>220</v>
      </c>
      <c r="F2" s="64" t="s">
        <v>195</v>
      </c>
      <c r="G2" s="5" t="s">
        <v>31</v>
      </c>
      <c r="H2" s="6" t="s">
        <v>71</v>
      </c>
      <c r="I2" s="55" t="s">
        <v>196</v>
      </c>
      <c r="J2" s="55" t="s">
        <v>259</v>
      </c>
      <c r="K2" s="55" t="s">
        <v>260</v>
      </c>
    </row>
    <row r="3" spans="1:15" ht="15.75" customHeight="1" thickBot="1" x14ac:dyDescent="0.5">
      <c r="A3" s="158" t="s">
        <v>192</v>
      </c>
      <c r="B3" s="10" t="s">
        <v>22</v>
      </c>
      <c r="C3" s="3" t="s">
        <v>188</v>
      </c>
      <c r="D3" s="23">
        <v>3.2490000000000001</v>
      </c>
      <c r="E3" s="22">
        <v>932.40300000000002</v>
      </c>
      <c r="F3" s="40">
        <f>(E3+19.85)/39.37</f>
        <v>24.187274574549154</v>
      </c>
      <c r="G3" s="41">
        <f t="shared" ref="G3:G33" si="0">IF(OR(NET_NAME="NA",F:F="NA"),"NA",PACKAGE_LENGTH+F:F)</f>
        <v>27.436274574549152</v>
      </c>
      <c r="H3" s="42">
        <f>IF(OR(NET_NAME="NA",F:F="NA"),"NA",G:G-AVERAGEA(CLOCK_A_LENGHTS))</f>
        <v>0.14030353060706346</v>
      </c>
      <c r="I3" s="134"/>
      <c r="J3" s="4">
        <f>((H3*10^-3)/299792458)*10^12</f>
        <v>0.46800220240051355</v>
      </c>
      <c r="K3" s="8">
        <f>39.37*H3</f>
        <v>5.5237500000000885</v>
      </c>
      <c r="L3" s="8" t="s">
        <v>34</v>
      </c>
      <c r="M3" s="52" t="s">
        <v>32</v>
      </c>
    </row>
    <row r="4" spans="1:15" ht="16.5" customHeight="1" thickBot="1" x14ac:dyDescent="0.5">
      <c r="A4" s="159"/>
      <c r="B4" s="11" t="s">
        <v>25</v>
      </c>
      <c r="C4" s="4" t="s">
        <v>189</v>
      </c>
      <c r="D4" s="24">
        <v>7.4550000000000001</v>
      </c>
      <c r="E4" s="22">
        <v>709.81399999999996</v>
      </c>
      <c r="F4" s="40">
        <f>(E4+55.474)/39.37</f>
        <v>19.438354076708155</v>
      </c>
      <c r="G4" s="43">
        <f t="shared" si="0"/>
        <v>26.893354076708157</v>
      </c>
      <c r="H4" s="28">
        <f>IF(OR(NET_NAME="NA",F:F="NA"),"NA",G:G-AVERAGEA(CLOCK_A_LENGHTS))</f>
        <v>-0.40261696723393214</v>
      </c>
      <c r="I4" s="135"/>
      <c r="J4" s="4">
        <f t="shared" ref="J4:J26" si="1">((H4*10^-3)/299792458)*10^12</f>
        <v>-1.342985643868106</v>
      </c>
      <c r="K4" s="8">
        <f t="shared" ref="K4:K26" si="2">39.37*H4</f>
        <v>-15.851029999999907</v>
      </c>
      <c r="L4" s="56" t="s">
        <v>34</v>
      </c>
      <c r="M4" s="53" t="s">
        <v>33</v>
      </c>
    </row>
    <row r="5" spans="1:15" ht="17.55" customHeight="1" thickBot="1" x14ac:dyDescent="0.5">
      <c r="A5" s="159"/>
      <c r="B5" s="11" t="s">
        <v>21</v>
      </c>
      <c r="C5" s="27" t="s">
        <v>72</v>
      </c>
      <c r="D5" s="24">
        <v>4.1769999999999996</v>
      </c>
      <c r="E5" s="22">
        <v>892.67600000000004</v>
      </c>
      <c r="F5" s="40">
        <f>(E5+19.85)/39.37</f>
        <v>23.178206756413516</v>
      </c>
      <c r="G5" s="43">
        <f t="shared" si="0"/>
        <v>27.355206756413516</v>
      </c>
      <c r="H5" s="28">
        <f>IF(OR(NET_NAME="NA",F:F="NA"),"NA",G:G-AVERAGEA(CLOCK_A_LENGHTS))</f>
        <v>5.9235712471426893E-2</v>
      </c>
      <c r="I5" s="135"/>
      <c r="J5" s="4">
        <f t="shared" si="1"/>
        <v>0.19758906833949402</v>
      </c>
      <c r="K5" s="8">
        <f t="shared" si="2"/>
        <v>2.3321100000000765</v>
      </c>
    </row>
    <row r="6" spans="1:15" ht="17.55" customHeight="1" thickBot="1" x14ac:dyDescent="0.5">
      <c r="A6" s="159"/>
      <c r="B6" s="11" t="s">
        <v>20</v>
      </c>
      <c r="C6" s="27" t="s">
        <v>73</v>
      </c>
      <c r="D6" s="24">
        <v>2.883</v>
      </c>
      <c r="E6" s="22">
        <v>950.1</v>
      </c>
      <c r="F6" s="40">
        <f>(E6+19.85)/39.37</f>
        <v>24.636779273558549</v>
      </c>
      <c r="G6" s="43">
        <f t="shared" si="0"/>
        <v>27.519779273558548</v>
      </c>
      <c r="H6" s="28">
        <f>IF(OR(NET_NAME="NA",F:F="NA"),"NA",G:G-AVERAGEA(CLOCK_A_LENGHTS))</f>
        <v>0.22380822961645919</v>
      </c>
      <c r="I6" s="135"/>
      <c r="J6" s="4">
        <f t="shared" si="1"/>
        <v>0.74654389609914462</v>
      </c>
      <c r="K6" s="8">
        <f t="shared" si="2"/>
        <v>8.8113299999999981</v>
      </c>
      <c r="L6" s="146"/>
      <c r="M6" s="147"/>
    </row>
    <row r="7" spans="1:15" ht="15.75" customHeight="1" thickBot="1" x14ac:dyDescent="0.5">
      <c r="A7" s="159"/>
      <c r="B7" s="11" t="s">
        <v>30</v>
      </c>
      <c r="C7" s="4" t="s">
        <v>75</v>
      </c>
      <c r="D7" s="24">
        <v>3.6680000000000001</v>
      </c>
      <c r="E7" s="22">
        <v>850</v>
      </c>
      <c r="F7" s="40">
        <f>(E7+74.934)/39.37</f>
        <v>23.493370586741175</v>
      </c>
      <c r="G7" s="43">
        <f t="shared" si="0"/>
        <v>27.161370586741175</v>
      </c>
      <c r="H7" s="124"/>
      <c r="I7" s="135"/>
      <c r="J7" s="4">
        <f t="shared" si="1"/>
        <v>0</v>
      </c>
      <c r="K7" s="8">
        <f t="shared" si="2"/>
        <v>0</v>
      </c>
      <c r="L7" s="148"/>
      <c r="M7" s="149"/>
    </row>
    <row r="8" spans="1:15" ht="15.75" customHeight="1" thickBot="1" x14ac:dyDescent="0.5">
      <c r="A8" s="159"/>
      <c r="B8" s="11" t="s">
        <v>17</v>
      </c>
      <c r="C8" s="4" t="s">
        <v>76</v>
      </c>
      <c r="D8" s="24">
        <v>3.48</v>
      </c>
      <c r="E8" s="22">
        <v>868</v>
      </c>
      <c r="F8" s="40">
        <f>(E8+74.934)/39.37</f>
        <v>23.950571501143003</v>
      </c>
      <c r="G8" s="43">
        <f t="shared" si="0"/>
        <v>27.430571501143003</v>
      </c>
      <c r="H8" s="124"/>
      <c r="I8" s="135"/>
      <c r="J8" s="4">
        <f t="shared" si="1"/>
        <v>0</v>
      </c>
      <c r="K8" s="8">
        <f t="shared" si="2"/>
        <v>0</v>
      </c>
      <c r="L8" s="139"/>
      <c r="M8" s="140"/>
    </row>
    <row r="9" spans="1:15" ht="15.75" customHeight="1" thickBot="1" x14ac:dyDescent="0.5">
      <c r="A9" s="159"/>
      <c r="B9" s="11" t="s">
        <v>29</v>
      </c>
      <c r="C9" s="4" t="s">
        <v>77</v>
      </c>
      <c r="D9" s="24">
        <v>6.4160000000000004</v>
      </c>
      <c r="E9" s="22">
        <v>801.71699999999998</v>
      </c>
      <c r="F9" s="40">
        <f t="shared" ref="F9:F18" si="3">(E9+19.85)/39.37</f>
        <v>20.867843535687072</v>
      </c>
      <c r="G9" s="43">
        <f t="shared" si="0"/>
        <v>27.283843535687073</v>
      </c>
      <c r="H9" s="28">
        <f t="shared" ref="H9:H14" si="4">IF(OR(NET_NAME="NA",F:F="NA"),"NA",G:G-AVERAGEA(CLOCK_A_LENGHTS))</f>
        <v>-1.2127508255016295E-2</v>
      </c>
      <c r="I9" s="135"/>
      <c r="J9" s="4">
        <f t="shared" si="1"/>
        <v>-4.0453013180926305E-2</v>
      </c>
      <c r="K9" s="8">
        <f t="shared" si="2"/>
        <v>-0.4774599999999915</v>
      </c>
    </row>
    <row r="10" spans="1:15" ht="15.75" customHeight="1" thickBot="1" x14ac:dyDescent="0.5">
      <c r="A10" s="159"/>
      <c r="B10" s="11" t="s">
        <v>16</v>
      </c>
      <c r="C10" s="4" t="s">
        <v>78</v>
      </c>
      <c r="D10" s="24">
        <v>8.2970000000000006</v>
      </c>
      <c r="E10" s="22">
        <v>757.66099999999994</v>
      </c>
      <c r="F10" s="40">
        <f t="shared" si="3"/>
        <v>19.748818897637797</v>
      </c>
      <c r="G10" s="43">
        <f t="shared" si="0"/>
        <v>28.045818897637798</v>
      </c>
      <c r="H10" s="28">
        <f t="shared" si="4"/>
        <v>0.74984785369570872</v>
      </c>
      <c r="I10" s="135"/>
      <c r="J10" s="4">
        <f t="shared" si="1"/>
        <v>2.5012232085428541</v>
      </c>
      <c r="K10" s="8">
        <f t="shared" si="2"/>
        <v>29.521510000000049</v>
      </c>
      <c r="L10" s="54"/>
      <c r="M10" s="54"/>
    </row>
    <row r="11" spans="1:15" ht="15.75" customHeight="1" thickBot="1" x14ac:dyDescent="0.5">
      <c r="A11" s="159"/>
      <c r="B11" s="11" t="s">
        <v>28</v>
      </c>
      <c r="C11" s="27" t="s">
        <v>79</v>
      </c>
      <c r="D11" s="24">
        <v>3.9980000000000002</v>
      </c>
      <c r="E11" s="22">
        <v>901.91499999999996</v>
      </c>
      <c r="F11" s="40">
        <f t="shared" si="3"/>
        <v>23.412877825755654</v>
      </c>
      <c r="G11" s="43">
        <f t="shared" si="0"/>
        <v>27.410877825755655</v>
      </c>
      <c r="H11" s="28">
        <f t="shared" si="4"/>
        <v>0.11490678181356628</v>
      </c>
      <c r="I11" s="135"/>
      <c r="J11" s="4">
        <f t="shared" si="1"/>
        <v>0.3832877670777371</v>
      </c>
      <c r="K11" s="8">
        <f t="shared" si="2"/>
        <v>4.523880000000104</v>
      </c>
      <c r="L11" s="60"/>
    </row>
    <row r="12" spans="1:15" ht="15.75" customHeight="1" thickBot="1" x14ac:dyDescent="0.5">
      <c r="A12" s="159"/>
      <c r="B12" s="11" t="s">
        <v>18</v>
      </c>
      <c r="C12" s="27" t="s">
        <v>74</v>
      </c>
      <c r="D12" s="24">
        <v>2.87</v>
      </c>
      <c r="E12" s="22">
        <v>950.61800000000005</v>
      </c>
      <c r="F12" s="40">
        <f t="shared" si="3"/>
        <v>24.649936499873004</v>
      </c>
      <c r="G12" s="43">
        <f t="shared" si="0"/>
        <v>27.519936499873005</v>
      </c>
      <c r="H12" s="28">
        <f t="shared" si="4"/>
        <v>0.22396545593091588</v>
      </c>
      <c r="I12" s="135"/>
      <c r="J12" s="4">
        <f t="shared" si="1"/>
        <v>0.74706834663237554</v>
      </c>
      <c r="K12" s="8">
        <f t="shared" si="2"/>
        <v>8.8175200000001581</v>
      </c>
      <c r="L12" s="129"/>
      <c r="M12" s="129"/>
      <c r="N12" s="138" t="s">
        <v>205</v>
      </c>
      <c r="O12" s="138"/>
    </row>
    <row r="13" spans="1:15" ht="15.75" customHeight="1" thickBot="1" x14ac:dyDescent="0.5">
      <c r="A13" s="159"/>
      <c r="B13" s="11" t="s">
        <v>27</v>
      </c>
      <c r="C13" s="27" t="s">
        <v>80</v>
      </c>
      <c r="D13" s="24">
        <v>2.8029999999999999</v>
      </c>
      <c r="E13" s="22">
        <v>953.02800000000002</v>
      </c>
      <c r="F13" s="40">
        <f t="shared" si="3"/>
        <v>24.711150622301247</v>
      </c>
      <c r="G13" s="43">
        <f t="shared" si="0"/>
        <v>27.514150622301248</v>
      </c>
      <c r="H13" s="28">
        <f t="shared" si="4"/>
        <v>0.21817957835915891</v>
      </c>
      <c r="I13" s="135"/>
      <c r="J13" s="4">
        <f t="shared" si="1"/>
        <v>0.72776873646087159</v>
      </c>
      <c r="K13" s="8">
        <f t="shared" si="2"/>
        <v>8.5897300000000865</v>
      </c>
      <c r="L13" s="137" t="s">
        <v>197</v>
      </c>
      <c r="M13" s="138"/>
      <c r="N13" s="137" t="s">
        <v>202</v>
      </c>
      <c r="O13" s="161"/>
    </row>
    <row r="14" spans="1:15" ht="15.75" customHeight="1" thickBot="1" x14ac:dyDescent="0.5">
      <c r="A14" s="159"/>
      <c r="B14" s="18" t="s">
        <v>24</v>
      </c>
      <c r="C14" s="27" t="s">
        <v>81</v>
      </c>
      <c r="D14" s="26">
        <v>3.2320000000000002</v>
      </c>
      <c r="E14" s="22">
        <v>926.80600000000004</v>
      </c>
      <c r="F14" s="40">
        <f t="shared" si="3"/>
        <v>24.045110490220985</v>
      </c>
      <c r="G14" s="44">
        <f t="shared" si="0"/>
        <v>27.277110490220984</v>
      </c>
      <c r="H14" s="29">
        <f t="shared" si="4"/>
        <v>-1.8860553721104623E-2</v>
      </c>
      <c r="I14" s="135"/>
      <c r="J14" s="4">
        <f t="shared" si="1"/>
        <v>-6.2912035369164038E-2</v>
      </c>
      <c r="K14" s="8">
        <f t="shared" si="2"/>
        <v>-0.74253999999988896</v>
      </c>
      <c r="M14" s="2" t="s">
        <v>198</v>
      </c>
      <c r="N14" s="59" t="s">
        <v>203</v>
      </c>
      <c r="O14" s="58" t="s">
        <v>204</v>
      </c>
    </row>
    <row r="15" spans="1:15" ht="15.4" customHeight="1" thickBot="1" x14ac:dyDescent="0.5">
      <c r="A15" s="159"/>
      <c r="B15" s="35" t="s">
        <v>26</v>
      </c>
      <c r="C15" s="36" t="s">
        <v>190</v>
      </c>
      <c r="D15" s="37">
        <v>5.6420000000000003</v>
      </c>
      <c r="E15" s="22">
        <v>847.54399999999998</v>
      </c>
      <c r="F15" s="40">
        <f t="shared" si="3"/>
        <v>22.031851663703328</v>
      </c>
      <c r="G15" s="45">
        <f t="shared" si="0"/>
        <v>27.673851663703328</v>
      </c>
      <c r="H15" s="46">
        <f>IF(OR(NET_NAME="NA",F:F="NA"),"NA",G:G-AVERAGEA(CLOCK_B_LENGHTS))</f>
        <v>5.114770129540247E-2</v>
      </c>
      <c r="I15" s="135"/>
      <c r="J15" s="4">
        <f t="shared" si="1"/>
        <v>0.17061036704066274</v>
      </c>
      <c r="K15" s="8">
        <f t="shared" si="2"/>
        <v>2.0136849999999953</v>
      </c>
      <c r="L15" s="137" t="s">
        <v>207</v>
      </c>
      <c r="M15" s="138"/>
      <c r="N15" s="59">
        <v>0.5</v>
      </c>
      <c r="O15" s="58">
        <f>((N15*10^-3)/299792458)*10^12</f>
        <v>1.6678204759907604</v>
      </c>
    </row>
    <row r="16" spans="1:15" ht="15.75" customHeight="1" thickBot="1" x14ac:dyDescent="0.5">
      <c r="A16" s="159"/>
      <c r="B16" s="11" t="s">
        <v>19</v>
      </c>
      <c r="C16" s="4" t="s">
        <v>191</v>
      </c>
      <c r="D16" s="24">
        <v>5.7880000000000003</v>
      </c>
      <c r="E16" s="22">
        <v>847.54399999999998</v>
      </c>
      <c r="F16" s="40">
        <f t="shared" si="3"/>
        <v>22.031851663703328</v>
      </c>
      <c r="G16" s="43">
        <f t="shared" si="0"/>
        <v>27.819851663703329</v>
      </c>
      <c r="H16" s="28">
        <f>IF(OR(NET_NAME="NA",F:F="NA"),"NA",G:G-AVERAGEA(CLOCK_B_LENGHTS))</f>
        <v>0.19714770129540327</v>
      </c>
      <c r="I16" s="135"/>
      <c r="J16" s="4">
        <f t="shared" si="1"/>
        <v>0.65761394602996737</v>
      </c>
      <c r="K16" s="8">
        <f t="shared" si="2"/>
        <v>7.7617050000000258</v>
      </c>
      <c r="L16" s="2" t="s">
        <v>199</v>
      </c>
      <c r="M16" s="2">
        <f>MIN(J3:J14)</f>
        <v>-1.342985643868106</v>
      </c>
      <c r="N16" s="137" t="s">
        <v>206</v>
      </c>
      <c r="O16" s="161"/>
    </row>
    <row r="17" spans="1:15" ht="17.55" customHeight="1" thickBot="1" x14ac:dyDescent="0.5">
      <c r="A17" s="159"/>
      <c r="B17" s="11" t="s">
        <v>23</v>
      </c>
      <c r="C17" s="27" t="s">
        <v>82</v>
      </c>
      <c r="D17" s="24">
        <v>4.5250000000000004</v>
      </c>
      <c r="E17" s="22">
        <v>902.30899999999997</v>
      </c>
      <c r="F17" s="40">
        <f t="shared" si="3"/>
        <v>23.422885445770891</v>
      </c>
      <c r="G17" s="43">
        <f t="shared" si="0"/>
        <v>27.947885445770893</v>
      </c>
      <c r="H17" s="28">
        <f>IF(OR(NET_NAME="NA",F:F="NA"),"NA",G:G-AVERAGEA(CLOCK_B_LENGHTS))</f>
        <v>0.32518148336296804</v>
      </c>
      <c r="I17" s="135"/>
      <c r="J17" s="4">
        <f t="shared" si="1"/>
        <v>1.0846886727316136</v>
      </c>
      <c r="K17" s="8">
        <f t="shared" si="2"/>
        <v>12.80239500000005</v>
      </c>
      <c r="L17" s="2" t="s">
        <v>200</v>
      </c>
      <c r="M17" s="2">
        <f>MAX(J3:J14)</f>
        <v>2.5012232085428541</v>
      </c>
      <c r="N17" s="58" t="s">
        <v>204</v>
      </c>
      <c r="O17" s="59" t="s">
        <v>203</v>
      </c>
    </row>
    <row r="18" spans="1:15" ht="15.75" customHeight="1" thickBot="1" x14ac:dyDescent="0.5">
      <c r="A18" s="159"/>
      <c r="B18" s="11" t="s">
        <v>54</v>
      </c>
      <c r="C18" s="27" t="s">
        <v>83</v>
      </c>
      <c r="D18" s="24">
        <v>2.9889999999999999</v>
      </c>
      <c r="E18" s="22">
        <v>940.71600000000001</v>
      </c>
      <c r="F18" s="40">
        <f t="shared" si="3"/>
        <v>24.398425196850397</v>
      </c>
      <c r="G18" s="43">
        <f t="shared" si="0"/>
        <v>27.387425196850398</v>
      </c>
      <c r="H18" s="28">
        <f>IF(OR(NET_NAME="NA",F:F="NA"),"NA",G:G-AVERAGEA(CLOCK_B_LENGHTS))</f>
        <v>-0.23527876555752769</v>
      </c>
      <c r="I18" s="135"/>
      <c r="J18" s="4">
        <f t="shared" si="1"/>
        <v>-0.78480548552534857</v>
      </c>
      <c r="K18" s="8">
        <f t="shared" si="2"/>
        <v>-9.2629249999998642</v>
      </c>
      <c r="L18" s="2" t="s">
        <v>201</v>
      </c>
      <c r="M18" s="2">
        <f xml:space="preserve"> AVERAGEA(J3:J14)</f>
        <v>0.36042771109456612</v>
      </c>
      <c r="N18" s="59">
        <v>150</v>
      </c>
      <c r="O18" s="58">
        <f>(N18*299792458*10^3)/(10^12)</f>
        <v>44.968868700000002</v>
      </c>
    </row>
    <row r="19" spans="1:15" ht="15.75" customHeight="1" thickBot="1" x14ac:dyDescent="0.5">
      <c r="A19" s="159"/>
      <c r="B19" s="11" t="s">
        <v>55</v>
      </c>
      <c r="C19" s="4" t="s">
        <v>84</v>
      </c>
      <c r="D19" s="24">
        <v>5.4470000000000001</v>
      </c>
      <c r="E19" s="22">
        <v>802.11099999999999</v>
      </c>
      <c r="F19" s="40">
        <f>(E19+74.934)/39.37</f>
        <v>22.276987553975108</v>
      </c>
      <c r="G19" s="43">
        <f t="shared" si="0"/>
        <v>27.723987553975107</v>
      </c>
      <c r="H19" s="142"/>
      <c r="I19" s="130">
        <f>AVERAGEA(CLOCK_A_LENGHTS)-AVERAGEA(CLOCK_B_LENGHTS)</f>
        <v>-0.32673291846583652</v>
      </c>
      <c r="J19" s="4">
        <f t="shared" si="1"/>
        <v>0</v>
      </c>
      <c r="K19" s="66">
        <f>(G19-G7)*39.37</f>
        <v>22.150229999999912</v>
      </c>
      <c r="L19" s="2" t="s">
        <v>208</v>
      </c>
      <c r="M19" s="2">
        <f>(G7+G8)/2</f>
        <v>27.295971043942089</v>
      </c>
      <c r="N19" s="59"/>
      <c r="O19" s="58"/>
    </row>
    <row r="20" spans="1:15" ht="15.75" customHeight="1" thickBot="1" x14ac:dyDescent="0.5">
      <c r="A20" s="159"/>
      <c r="B20" s="11" t="s">
        <v>136</v>
      </c>
      <c r="C20" s="4" t="s">
        <v>85</v>
      </c>
      <c r="D20" s="24">
        <v>6.4359999999999999</v>
      </c>
      <c r="E20" s="22">
        <v>755.19899999999996</v>
      </c>
      <c r="F20" s="40">
        <f>(E20+74.934)/39.37</f>
        <v>21.08542037084074</v>
      </c>
      <c r="G20" s="43">
        <f t="shared" si="0"/>
        <v>27.52142037084074</v>
      </c>
      <c r="H20" s="143"/>
      <c r="I20" s="130"/>
      <c r="J20" s="4">
        <f t="shared" si="1"/>
        <v>0</v>
      </c>
      <c r="K20" s="66">
        <f>(G20-G8)*39.37</f>
        <v>3.5767199999999133</v>
      </c>
      <c r="L20" s="2" t="s">
        <v>209</v>
      </c>
      <c r="M20" s="2" t="e" cm="1" vm="1">
        <f t="array" ref="M20">_xlfn.TEXTJOIN(", ", TRUE, _xlfn._xlws.FILTER(C3:C14, ABS(G3:G14 - M19) &gt; 3.574))</f>
        <v>#VALUE!</v>
      </c>
      <c r="N20" s="59"/>
      <c r="O20" s="58"/>
    </row>
    <row r="21" spans="1:15" ht="15.75" customHeight="1" thickBot="1" x14ac:dyDescent="0.5">
      <c r="A21" s="159"/>
      <c r="B21" s="11" t="s">
        <v>56</v>
      </c>
      <c r="C21" s="4" t="s">
        <v>86</v>
      </c>
      <c r="D21" s="24">
        <v>6.2489999999999997</v>
      </c>
      <c r="E21" s="22">
        <v>784.60199999999998</v>
      </c>
      <c r="F21" s="40">
        <f>(E21+55.474)/39.37</f>
        <v>21.337973075946152</v>
      </c>
      <c r="G21" s="43">
        <f t="shared" si="0"/>
        <v>27.586973075946151</v>
      </c>
      <c r="H21" s="28">
        <f t="shared" ref="H21:H26" si="5">IF(OR(NET_NAME="NA",F:F="NA"),"NA",G:G-AVERAGEA(CLOCK_B_LENGHTS))</f>
        <v>-3.5730886461774247E-2</v>
      </c>
      <c r="I21" s="135"/>
      <c r="J21" s="4">
        <f t="shared" si="1"/>
        <v>-0.11918540813249628</v>
      </c>
      <c r="K21" s="8">
        <f t="shared" si="2"/>
        <v>-1.406725000000052</v>
      </c>
      <c r="L21" s="137" t="s">
        <v>211</v>
      </c>
      <c r="M21" s="138"/>
      <c r="N21" s="59"/>
      <c r="O21" s="58"/>
    </row>
    <row r="22" spans="1:15" ht="15.75" customHeight="1" thickBot="1" x14ac:dyDescent="0.5">
      <c r="A22" s="159"/>
      <c r="B22" s="11" t="s">
        <v>57</v>
      </c>
      <c r="C22" s="4" t="s">
        <v>87</v>
      </c>
      <c r="D22" s="24">
        <v>2.6139999999999999</v>
      </c>
      <c r="E22" s="22">
        <v>967.17</v>
      </c>
      <c r="F22" s="40">
        <f>(E22+19.85)/39.37</f>
        <v>25.070358140716284</v>
      </c>
      <c r="G22" s="43">
        <f t="shared" si="0"/>
        <v>27.684358140716284</v>
      </c>
      <c r="H22" s="28">
        <f t="shared" si="5"/>
        <v>6.1654178308359064E-2</v>
      </c>
      <c r="I22" s="135"/>
      <c r="J22" s="4">
        <f t="shared" si="1"/>
        <v>0.20565620202613322</v>
      </c>
      <c r="K22" s="8">
        <f t="shared" si="2"/>
        <v>2.4273250000000961</v>
      </c>
      <c r="L22" s="2" t="s">
        <v>199</v>
      </c>
      <c r="M22" s="2">
        <f>MIN(J15:J26)</f>
        <v>-0.78480548552534857</v>
      </c>
      <c r="N22" s="59"/>
      <c r="O22" s="58"/>
    </row>
    <row r="23" spans="1:15" ht="15.75" customHeight="1" thickBot="1" x14ac:dyDescent="0.5">
      <c r="A23" s="159"/>
      <c r="B23" s="11" t="s">
        <v>58</v>
      </c>
      <c r="C23" s="27" t="s">
        <v>88</v>
      </c>
      <c r="D23" s="24">
        <v>3.7629999999999999</v>
      </c>
      <c r="E23" s="22">
        <v>938.16399999999999</v>
      </c>
      <c r="F23" s="40">
        <f>E23/39.37</f>
        <v>23.82941325882652</v>
      </c>
      <c r="G23" s="43">
        <f t="shared" si="0"/>
        <v>27.592413258826518</v>
      </c>
      <c r="H23" s="28">
        <f t="shared" si="5"/>
        <v>-3.0290703581407286E-2</v>
      </c>
      <c r="I23" s="135"/>
      <c r="J23" s="4">
        <f t="shared" si="1"/>
        <v>-0.10103891133047546</v>
      </c>
      <c r="K23" s="8">
        <f t="shared" si="2"/>
        <v>-1.1925450000000049</v>
      </c>
      <c r="L23" s="2" t="s">
        <v>200</v>
      </c>
      <c r="M23" s="2">
        <f>MAX(J15:J26)</f>
        <v>1.0846886727316136</v>
      </c>
      <c r="N23" s="59"/>
      <c r="O23" s="58"/>
    </row>
    <row r="24" spans="1:15" ht="15.6" customHeight="1" thickBot="1" x14ac:dyDescent="0.5">
      <c r="A24" s="159"/>
      <c r="B24" s="11" t="s">
        <v>59</v>
      </c>
      <c r="C24" s="27" t="s">
        <v>89</v>
      </c>
      <c r="D24" s="24">
        <v>4.4909999999999997</v>
      </c>
      <c r="E24" s="22">
        <v>907.303</v>
      </c>
      <c r="F24" s="40">
        <f>E24/39.37</f>
        <v>23.045542291084583</v>
      </c>
      <c r="G24" s="43">
        <f t="shared" si="0"/>
        <v>27.536542291084583</v>
      </c>
      <c r="H24" s="28">
        <f t="shared" si="5"/>
        <v>-8.6161671323342404E-2</v>
      </c>
      <c r="I24" s="135"/>
      <c r="J24" s="4">
        <f t="shared" si="1"/>
        <v>-0.28740439935731277</v>
      </c>
      <c r="K24" s="8">
        <f t="shared" si="2"/>
        <v>-3.3921849999999902</v>
      </c>
      <c r="L24" s="2" t="s">
        <v>201</v>
      </c>
      <c r="M24" s="2">
        <f xml:space="preserve"> AVERAGEA(J15:J26)</f>
        <v>2.1533890882816598E-2</v>
      </c>
    </row>
    <row r="25" spans="1:15" ht="15.6" customHeight="1" thickBot="1" x14ac:dyDescent="0.5">
      <c r="A25" s="159"/>
      <c r="B25" s="11" t="s">
        <v>60</v>
      </c>
      <c r="C25" s="27" t="s">
        <v>90</v>
      </c>
      <c r="D25" s="24">
        <v>4.8680000000000003</v>
      </c>
      <c r="E25" s="22">
        <v>892.45299999999997</v>
      </c>
      <c r="F25" s="40">
        <f>E25/39.37</f>
        <v>22.668351536703074</v>
      </c>
      <c r="G25" s="43">
        <f t="shared" si="0"/>
        <v>27.536351536703073</v>
      </c>
      <c r="H25" s="28">
        <f t="shared" si="5"/>
        <v>-8.6352425704852465E-2</v>
      </c>
      <c r="I25" s="135"/>
      <c r="J25" s="4">
        <f t="shared" si="1"/>
        <v>-0.2880406874840476</v>
      </c>
      <c r="K25" s="8">
        <f t="shared" si="2"/>
        <v>-3.3996950000000412</v>
      </c>
      <c r="L25" s="2" t="s">
        <v>210</v>
      </c>
      <c r="M25" s="2">
        <f>(G19+G20)/2</f>
        <v>27.622703962407925</v>
      </c>
    </row>
    <row r="26" spans="1:15" ht="15.6" customHeight="1" thickBot="1" x14ac:dyDescent="0.5">
      <c r="A26" s="159"/>
      <c r="B26" s="19" t="s">
        <v>61</v>
      </c>
      <c r="C26" s="27" t="s">
        <v>91</v>
      </c>
      <c r="D26" s="31">
        <v>8.0749999999999993</v>
      </c>
      <c r="E26" s="22">
        <v>766.29200000000003</v>
      </c>
      <c r="F26" s="40">
        <f>E26/39.37</f>
        <v>19.463855727711458</v>
      </c>
      <c r="G26" s="47">
        <f t="shared" si="0"/>
        <v>27.538855727711457</v>
      </c>
      <c r="H26" s="30">
        <f t="shared" si="5"/>
        <v>-8.3848234696468182E-2</v>
      </c>
      <c r="I26" s="135"/>
      <c r="J26" s="4">
        <f t="shared" si="1"/>
        <v>-0.27968760540489712</v>
      </c>
      <c r="K26" s="8">
        <f t="shared" si="2"/>
        <v>-3.3011049999999522</v>
      </c>
      <c r="L26" s="2" t="s">
        <v>212</v>
      </c>
      <c r="M26" s="2">
        <f>I19</f>
        <v>-0.32673291846583652</v>
      </c>
    </row>
    <row r="27" spans="1:15" ht="15.6" customHeight="1" x14ac:dyDescent="0.45">
      <c r="A27" s="159"/>
      <c r="B27" s="10" t="s">
        <v>62</v>
      </c>
      <c r="C27" s="3" t="s">
        <v>143</v>
      </c>
      <c r="D27" s="23">
        <v>5.3019999999999996</v>
      </c>
      <c r="E27" s="22"/>
      <c r="F27" s="48" t="s">
        <v>143</v>
      </c>
      <c r="G27" s="41" t="str">
        <f t="shared" si="0"/>
        <v>NA</v>
      </c>
      <c r="H27" s="42" t="str">
        <f t="shared" ref="H27:H33" si="6">IF(OR(NET_NAME="NA",F:F="NA"),"NA",G:G-AVERAGEA(CLOCK_A_LENGHTS))</f>
        <v>NA</v>
      </c>
      <c r="I27" s="135"/>
      <c r="J27" s="57"/>
      <c r="K27" s="62"/>
      <c r="L27" s="2" t="s">
        <v>209</v>
      </c>
      <c r="M27" s="2" t="e" cm="1" vm="1">
        <f t="array" ref="M27">_xlfn.TEXTJOIN(", ", TRUE, _xlfn._xlws.FILTER(C15:C26, ABS(G15:G26 - M19) &gt; 3.574))</f>
        <v>#VALUE!</v>
      </c>
    </row>
    <row r="28" spans="1:15" ht="15.6" customHeight="1" x14ac:dyDescent="0.45">
      <c r="A28" s="159"/>
      <c r="B28" s="11" t="s">
        <v>63</v>
      </c>
      <c r="C28" s="4" t="s">
        <v>143</v>
      </c>
      <c r="D28" s="24">
        <v>8.3680000000000003</v>
      </c>
      <c r="E28" s="22"/>
      <c r="F28" s="49" t="s">
        <v>143</v>
      </c>
      <c r="G28" s="43" t="str">
        <f t="shared" si="0"/>
        <v>NA</v>
      </c>
      <c r="H28" s="28" t="str">
        <f t="shared" si="6"/>
        <v>NA</v>
      </c>
      <c r="I28" s="135"/>
      <c r="J28" s="57"/>
      <c r="K28" s="61"/>
      <c r="L28" s="137" t="s">
        <v>214</v>
      </c>
      <c r="M28" s="138"/>
    </row>
    <row r="29" spans="1:15" ht="15.6" customHeight="1" x14ac:dyDescent="0.45">
      <c r="A29" s="159"/>
      <c r="B29" s="11" t="s">
        <v>64</v>
      </c>
      <c r="C29" s="4" t="s">
        <v>143</v>
      </c>
      <c r="D29" s="24">
        <v>7.6609999999999996</v>
      </c>
      <c r="E29" s="22"/>
      <c r="F29" s="49" t="s">
        <v>143</v>
      </c>
      <c r="G29" s="43" t="str">
        <f t="shared" si="0"/>
        <v>NA</v>
      </c>
      <c r="H29" s="28" t="str">
        <f t="shared" si="6"/>
        <v>NA</v>
      </c>
      <c r="I29" s="135"/>
      <c r="J29" s="57"/>
      <c r="K29" s="62"/>
      <c r="L29" s="2" t="s">
        <v>199</v>
      </c>
      <c r="M29" s="2">
        <f>MIN(J40:J48)</f>
        <v>-1.0991771482457984</v>
      </c>
    </row>
    <row r="30" spans="1:15" ht="15.75" customHeight="1" x14ac:dyDescent="0.45">
      <c r="A30" s="159"/>
      <c r="B30" s="11" t="s">
        <v>65</v>
      </c>
      <c r="C30" s="4" t="s">
        <v>143</v>
      </c>
      <c r="D30" s="24">
        <v>9.2569999999999997</v>
      </c>
      <c r="E30" s="22"/>
      <c r="F30" s="49" t="s">
        <v>143</v>
      </c>
      <c r="G30" s="43" t="str">
        <f t="shared" si="0"/>
        <v>NA</v>
      </c>
      <c r="H30" s="28" t="str">
        <f t="shared" si="6"/>
        <v>NA</v>
      </c>
      <c r="I30" s="135"/>
      <c r="J30" s="57"/>
      <c r="K30" s="62"/>
      <c r="L30" s="2" t="s">
        <v>200</v>
      </c>
      <c r="M30" s="2">
        <f>MAX(J40:J48)</f>
        <v>6.2850744978910269</v>
      </c>
    </row>
    <row r="31" spans="1:15" ht="15.75" customHeight="1" x14ac:dyDescent="0.45">
      <c r="A31" s="159"/>
      <c r="B31" s="11" t="s">
        <v>66</v>
      </c>
      <c r="C31" s="4" t="s">
        <v>143</v>
      </c>
      <c r="D31" s="24">
        <v>7.1580000000000004</v>
      </c>
      <c r="E31" s="22"/>
      <c r="F31" s="49" t="s">
        <v>143</v>
      </c>
      <c r="G31" s="43" t="str">
        <f t="shared" si="0"/>
        <v>NA</v>
      </c>
      <c r="H31" s="28" t="str">
        <f t="shared" si="6"/>
        <v>NA</v>
      </c>
      <c r="I31" s="135"/>
      <c r="J31" s="57"/>
      <c r="K31" s="62"/>
      <c r="L31" s="2" t="s">
        <v>201</v>
      </c>
      <c r="M31" s="2">
        <f>AVERAGEA(J40:J48)</f>
        <v>1.1380269676409258</v>
      </c>
    </row>
    <row r="32" spans="1:15" ht="15.75" customHeight="1" thickBot="1" x14ac:dyDescent="0.5">
      <c r="A32" s="159"/>
      <c r="B32" s="11" t="s">
        <v>67</v>
      </c>
      <c r="C32" s="4" t="s">
        <v>143</v>
      </c>
      <c r="D32" s="24">
        <v>6.1239999999999997</v>
      </c>
      <c r="E32" s="22"/>
      <c r="F32" s="49" t="s">
        <v>143</v>
      </c>
      <c r="G32" s="43" t="str">
        <f t="shared" si="0"/>
        <v>NA</v>
      </c>
      <c r="H32" s="28" t="str">
        <f t="shared" si="6"/>
        <v>NA</v>
      </c>
      <c r="I32" s="135"/>
      <c r="J32" s="57"/>
      <c r="K32" s="62"/>
      <c r="L32" s="2" t="s">
        <v>213</v>
      </c>
      <c r="M32" s="2">
        <f>AVERAGEA(G49,G50)</f>
        <v>28.541899669799342</v>
      </c>
    </row>
    <row r="33" spans="1:13" ht="15.75" customHeight="1" thickBot="1" x14ac:dyDescent="0.5">
      <c r="A33" s="160"/>
      <c r="B33" s="18" t="s">
        <v>68</v>
      </c>
      <c r="C33" s="33" t="s">
        <v>143</v>
      </c>
      <c r="D33" s="26">
        <v>7.0039999999999996</v>
      </c>
      <c r="E33" s="22"/>
      <c r="F33" s="50" t="s">
        <v>143</v>
      </c>
      <c r="G33" s="44" t="str">
        <f t="shared" si="0"/>
        <v>NA</v>
      </c>
      <c r="H33" s="29" t="str">
        <f t="shared" si="6"/>
        <v>NA</v>
      </c>
      <c r="I33" s="136"/>
      <c r="J33" s="55"/>
      <c r="K33" s="62"/>
      <c r="L33" s="2" t="s">
        <v>209</v>
      </c>
      <c r="M33" s="2" t="str" cm="1">
        <f t="array" ref="M33">_xlfn.TEXTJOIN(", ", TRUE, _xlfn._xlws.FILTER(C40:C48, ABS(G40:G48 - M32) &gt; 1.42))</f>
        <v>DDR_DQ1_A</v>
      </c>
    </row>
    <row r="34" spans="1:13" x14ac:dyDescent="0.45">
      <c r="B34" s="2" t="s">
        <v>222</v>
      </c>
      <c r="L34" s="137" t="s">
        <v>217</v>
      </c>
      <c r="M34" s="138"/>
    </row>
    <row r="35" spans="1:13" x14ac:dyDescent="0.45">
      <c r="B35" s="2" t="s">
        <v>223</v>
      </c>
      <c r="C35" s="2">
        <v>15.551</v>
      </c>
      <c r="L35" s="2" t="s">
        <v>199</v>
      </c>
      <c r="M35" s="2">
        <f>MIN(J46:J54)</f>
        <v>-1.0991771482457984</v>
      </c>
    </row>
    <row r="36" spans="1:13" x14ac:dyDescent="0.45">
      <c r="B36" s="2" t="s">
        <v>224</v>
      </c>
      <c r="C36" s="2">
        <v>19.850000000000001</v>
      </c>
      <c r="L36" s="2" t="s">
        <v>200</v>
      </c>
      <c r="M36" s="2">
        <f>MAX(J46:J54)</f>
        <v>0.73712242610014933</v>
      </c>
    </row>
    <row r="37" spans="1:13" x14ac:dyDescent="0.45">
      <c r="B37" s="2" t="s">
        <v>226</v>
      </c>
      <c r="C37" s="2">
        <v>55.473999999999997</v>
      </c>
      <c r="J37" s="2" t="s">
        <v>221</v>
      </c>
      <c r="L37" s="2" t="s">
        <v>201</v>
      </c>
      <c r="M37" s="2">
        <f>AVERAGEA(J46:J54)</f>
        <v>-0.11821271290102753</v>
      </c>
    </row>
    <row r="38" spans="1:13" ht="18" thickBot="1" x14ac:dyDescent="0.5">
      <c r="B38" s="2" t="s">
        <v>225</v>
      </c>
      <c r="C38" s="2">
        <v>74.933999999999997</v>
      </c>
    </row>
    <row r="39" spans="1:13" ht="42" thickBot="1" x14ac:dyDescent="0.5">
      <c r="A39" s="38"/>
      <c r="B39" s="16" t="s">
        <v>142</v>
      </c>
      <c r="C39" s="5" t="s">
        <v>0</v>
      </c>
      <c r="D39" s="6" t="s">
        <v>194</v>
      </c>
      <c r="E39" s="21"/>
      <c r="F39" s="20" t="s">
        <v>195</v>
      </c>
      <c r="G39" s="5" t="s">
        <v>31</v>
      </c>
      <c r="H39" s="5" t="s">
        <v>69</v>
      </c>
      <c r="I39" s="6" t="s">
        <v>70</v>
      </c>
      <c r="J39" s="55" t="s">
        <v>259</v>
      </c>
      <c r="K39" s="55" t="s">
        <v>260</v>
      </c>
      <c r="L39" s="2" t="s">
        <v>215</v>
      </c>
      <c r="M39" s="2">
        <f>AVERAGEA(G60,G61)</f>
        <v>29.004252603505208</v>
      </c>
    </row>
    <row r="40" spans="1:13" ht="15" customHeight="1" x14ac:dyDescent="0.45">
      <c r="A40" s="125" t="s">
        <v>14</v>
      </c>
      <c r="B40" s="7" t="s">
        <v>144</v>
      </c>
      <c r="C40" s="27" t="s">
        <v>93</v>
      </c>
      <c r="D40" s="23">
        <v>5.226</v>
      </c>
      <c r="E40" s="22">
        <v>911.31100000000004</v>
      </c>
      <c r="F40" s="24">
        <f>(E40+15.551)/39.37</f>
        <v>23.542341884683772</v>
      </c>
      <c r="G40" s="41">
        <f>IF(OR(NET_NAME="NA",F:F="NA"),"NA",PACKAGE_LENGTH+F:F)</f>
        <v>28.768341884683771</v>
      </c>
      <c r="H40" s="41">
        <f t="shared" ref="H40:H48" si="7">IF(OR(NET_NAME="NA",F:F="NA"),"NA",G:G-AVERAGEA(DQS0_A_LENGTHS))</f>
        <v>0.22644221488442895</v>
      </c>
      <c r="I40" s="132"/>
      <c r="J40" s="4">
        <f>((H3*10^-3)/299792458)*10^12</f>
        <v>0.46800220240051355</v>
      </c>
      <c r="K40" s="8">
        <f t="shared" ref="K40:K83" si="8">39.37*H40</f>
        <v>8.9150299999999678</v>
      </c>
      <c r="L40" s="2" t="s">
        <v>209</v>
      </c>
      <c r="M40" s="2" t="e" cm="1" vm="1">
        <f t="array" ref="M40">_xlfn.TEXTJOIN(", ", TRUE, _xlfn._xlws.FILTER(C51:C59, ABS(G51:G59 - M39) &gt; 1.42))</f>
        <v>#VALUE!</v>
      </c>
    </row>
    <row r="41" spans="1:13" ht="13.9" x14ac:dyDescent="0.45">
      <c r="A41" s="126"/>
      <c r="B41" s="8" t="s">
        <v>145</v>
      </c>
      <c r="C41" s="25" t="s">
        <v>92</v>
      </c>
      <c r="D41" s="24">
        <v>5.4249999999999998</v>
      </c>
      <c r="E41" s="22">
        <v>968.74300000000005</v>
      </c>
      <c r="F41" s="24">
        <f t="shared" ref="F41:F47" si="9">(E41+15.551)/39.37</f>
        <v>25.001117602235208</v>
      </c>
      <c r="G41" s="43">
        <f t="shared" ref="G41:G83" si="10">IF(OR(NET_NAME="NA",F:F="NA"),"NA",PACKAGE_LENGTH+F:F)</f>
        <v>30.426117602235209</v>
      </c>
      <c r="H41" s="43">
        <f t="shared" si="7"/>
        <v>1.8842179324358668</v>
      </c>
      <c r="I41" s="133"/>
      <c r="J41" s="4">
        <f t="shared" ref="J41:J83" si="11">((H41*10^-3)/299792458)*10^12</f>
        <v>6.2850744978910269</v>
      </c>
      <c r="K41" s="8">
        <f t="shared" si="8"/>
        <v>74.181660000000065</v>
      </c>
      <c r="L41" s="137" t="s">
        <v>218</v>
      </c>
      <c r="M41" s="138"/>
    </row>
    <row r="42" spans="1:13" ht="13.9" x14ac:dyDescent="0.45">
      <c r="A42" s="126"/>
      <c r="B42" s="8" t="s">
        <v>146</v>
      </c>
      <c r="C42" s="25" t="s">
        <v>94</v>
      </c>
      <c r="D42" s="24">
        <v>5.9939999999999998</v>
      </c>
      <c r="E42" s="22">
        <v>889.827</v>
      </c>
      <c r="F42" s="24">
        <f t="shared" si="9"/>
        <v>22.99664719329439</v>
      </c>
      <c r="G42" s="43">
        <f t="shared" si="10"/>
        <v>28.990647193294389</v>
      </c>
      <c r="H42" s="43">
        <f t="shared" si="7"/>
        <v>0.44874752349504732</v>
      </c>
      <c r="I42" s="133"/>
      <c r="J42" s="4">
        <f t="shared" si="11"/>
        <v>1.4968606164703693</v>
      </c>
      <c r="K42" s="8">
        <f t="shared" si="8"/>
        <v>17.667190000000012</v>
      </c>
      <c r="L42" s="2" t="s">
        <v>199</v>
      </c>
      <c r="M42" s="2">
        <f>MIN(J58:J66)</f>
        <v>-1.0096536964019471</v>
      </c>
    </row>
    <row r="43" spans="1:13" ht="13.9" x14ac:dyDescent="0.45">
      <c r="A43" s="126"/>
      <c r="B43" s="8" t="s">
        <v>147</v>
      </c>
      <c r="C43" s="25" t="s">
        <v>95</v>
      </c>
      <c r="D43" s="24">
        <v>5.98</v>
      </c>
      <c r="E43" s="22">
        <v>884.221</v>
      </c>
      <c r="F43" s="24">
        <f t="shared" si="9"/>
        <v>22.854254508509019</v>
      </c>
      <c r="G43" s="43">
        <f t="shared" si="10"/>
        <v>28.834254508509019</v>
      </c>
      <c r="H43" s="43">
        <f t="shared" si="7"/>
        <v>0.29235483870967727</v>
      </c>
      <c r="I43" s="133"/>
      <c r="J43" s="4">
        <f t="shared" si="11"/>
        <v>0.97519077250995179</v>
      </c>
      <c r="K43" s="8">
        <f t="shared" si="8"/>
        <v>11.510009999999994</v>
      </c>
      <c r="L43" s="2" t="s">
        <v>200</v>
      </c>
      <c r="M43" s="2">
        <f>MAX(J62:J70)</f>
        <v>1.5906025484513613</v>
      </c>
    </row>
    <row r="44" spans="1:13" ht="13.9" x14ac:dyDescent="0.45">
      <c r="A44" s="126"/>
      <c r="B44" s="8" t="s">
        <v>148</v>
      </c>
      <c r="C44" s="25" t="s">
        <v>96</v>
      </c>
      <c r="D44" s="24">
        <v>4.0369999999999999</v>
      </c>
      <c r="E44" s="22">
        <v>954.07899999999995</v>
      </c>
      <c r="F44" s="24">
        <f t="shared" si="9"/>
        <v>24.628651257302515</v>
      </c>
      <c r="G44" s="43">
        <f t="shared" si="10"/>
        <v>28.665651257302514</v>
      </c>
      <c r="H44" s="43">
        <f t="shared" si="7"/>
        <v>0.12375158750317183</v>
      </c>
      <c r="I44" s="133"/>
      <c r="J44" s="4">
        <f t="shared" si="11"/>
        <v>0.41279086314830454</v>
      </c>
      <c r="K44" s="8">
        <f t="shared" si="8"/>
        <v>4.8720999999998744</v>
      </c>
      <c r="L44" s="2" t="s">
        <v>201</v>
      </c>
      <c r="M44" s="2">
        <f>AVERAGEA(J62:J70)</f>
        <v>-0.21259865243859505</v>
      </c>
    </row>
    <row r="45" spans="1:13" ht="13.9" x14ac:dyDescent="0.45">
      <c r="A45" s="126"/>
      <c r="B45" s="8" t="s">
        <v>149</v>
      </c>
      <c r="C45" s="25" t="s">
        <v>97</v>
      </c>
      <c r="D45" s="24">
        <v>5.0279999999999996</v>
      </c>
      <c r="E45" s="22">
        <v>922.92600000000004</v>
      </c>
      <c r="F45" s="24">
        <f t="shared" si="9"/>
        <v>23.837363474726953</v>
      </c>
      <c r="G45" s="43">
        <f t="shared" si="10"/>
        <v>28.865363474726951</v>
      </c>
      <c r="H45" s="43">
        <f t="shared" si="7"/>
        <v>0.32346380492760929</v>
      </c>
      <c r="I45" s="133"/>
      <c r="J45" s="4">
        <f t="shared" si="11"/>
        <v>1.0789591142002957</v>
      </c>
      <c r="K45" s="8">
        <f t="shared" si="8"/>
        <v>12.734769999999976</v>
      </c>
      <c r="L45" s="2" t="s">
        <v>215</v>
      </c>
      <c r="M45" s="2">
        <f>AVERAGEA(G71,G72)</f>
        <v>28.992171196342394</v>
      </c>
    </row>
    <row r="46" spans="1:13" ht="13.9" x14ac:dyDescent="0.45">
      <c r="A46" s="126"/>
      <c r="B46" s="8" t="s">
        <v>150</v>
      </c>
      <c r="C46" s="25" t="s">
        <v>98</v>
      </c>
      <c r="D46" s="24">
        <v>4.8559999999999999</v>
      </c>
      <c r="E46" s="22">
        <v>925.66300000000001</v>
      </c>
      <c r="F46" s="24">
        <f t="shared" si="9"/>
        <v>23.906883413766831</v>
      </c>
      <c r="G46" s="43">
        <f t="shared" si="10"/>
        <v>28.762883413766829</v>
      </c>
      <c r="H46" s="43">
        <f t="shared" si="7"/>
        <v>0.2209837439674871</v>
      </c>
      <c r="I46" s="133"/>
      <c r="J46" s="4">
        <f t="shared" si="11"/>
        <v>0.73712242610014933</v>
      </c>
      <c r="K46" s="8">
        <f t="shared" si="8"/>
        <v>8.7001299999999659</v>
      </c>
      <c r="L46" s="2" t="s">
        <v>209</v>
      </c>
      <c r="M46" s="2" t="e" cm="1" vm="1">
        <f t="array" ref="M46">_xlfn.TEXTJOIN(", ", TRUE, _xlfn._xlws.FILTER(C62:C70, ABS(G62:G70 - M45) &gt; 1.42))</f>
        <v>#VALUE!</v>
      </c>
    </row>
    <row r="47" spans="1:13" ht="13.9" x14ac:dyDescent="0.45">
      <c r="A47" s="126"/>
      <c r="B47" s="8" t="s">
        <v>151</v>
      </c>
      <c r="C47" s="25" t="s">
        <v>99</v>
      </c>
      <c r="D47" s="24">
        <v>3.9870000000000001</v>
      </c>
      <c r="E47" s="22">
        <v>938.202</v>
      </c>
      <c r="F47" s="24">
        <f t="shared" si="9"/>
        <v>24.225374650749306</v>
      </c>
      <c r="G47" s="43">
        <f t="shared" si="10"/>
        <v>28.212374650749304</v>
      </c>
      <c r="H47" s="43">
        <f t="shared" si="7"/>
        <v>-0.32952501905003828</v>
      </c>
      <c r="I47" s="133"/>
      <c r="J47" s="4">
        <f t="shared" si="11"/>
        <v>-1.0991771482457984</v>
      </c>
      <c r="K47" s="8">
        <f t="shared" si="8"/>
        <v>-12.973400000000007</v>
      </c>
    </row>
    <row r="48" spans="1:13" ht="13.9" x14ac:dyDescent="0.45">
      <c r="A48" s="126"/>
      <c r="B48" s="8" t="s">
        <v>152</v>
      </c>
      <c r="C48" s="4" t="s">
        <v>100</v>
      </c>
      <c r="D48" s="24">
        <v>6.0860000000000003</v>
      </c>
      <c r="E48" s="22">
        <v>882.76</v>
      </c>
      <c r="F48" s="24">
        <f>E48/39.37</f>
        <v>22.422148844297691</v>
      </c>
      <c r="G48" s="43">
        <f t="shared" si="10"/>
        <v>28.508148844297693</v>
      </c>
      <c r="H48" s="43">
        <f t="shared" si="7"/>
        <v>-3.3750825501648762E-2</v>
      </c>
      <c r="I48" s="133"/>
      <c r="J48" s="4">
        <f t="shared" si="11"/>
        <v>-0.11258063570648186</v>
      </c>
      <c r="K48" s="8">
        <f t="shared" si="8"/>
        <v>-1.3287699999999116</v>
      </c>
      <c r="L48" s="137" t="s">
        <v>219</v>
      </c>
      <c r="M48" s="138"/>
    </row>
    <row r="49" spans="1:13" ht="13.9" x14ac:dyDescent="0.45">
      <c r="A49" s="126"/>
      <c r="B49" s="8" t="s">
        <v>153</v>
      </c>
      <c r="C49" s="4" t="s">
        <v>102</v>
      </c>
      <c r="D49" s="24">
        <v>4.9640000000000004</v>
      </c>
      <c r="E49" s="22">
        <v>850.88800000000003</v>
      </c>
      <c r="F49" s="24">
        <f>(E49+74.934)/39.37</f>
        <v>23.515925831851664</v>
      </c>
      <c r="G49" s="43">
        <f t="shared" si="10"/>
        <v>28.479925831851666</v>
      </c>
      <c r="H49" s="152"/>
      <c r="I49" s="130">
        <f>IF(OR(NET_NAME="NA",F:F="NA"),"NA",AVERAGEA(DQS0_A_LENGTHS)-AVERAGEA(CLOCK_A_LENGHTS))</f>
        <v>1.2459286258572533</v>
      </c>
      <c r="J49" s="4">
        <f t="shared" si="11"/>
        <v>0</v>
      </c>
      <c r="K49" s="8">
        <f t="shared" si="8"/>
        <v>0</v>
      </c>
      <c r="L49" s="2" t="s">
        <v>199</v>
      </c>
      <c r="M49" s="2">
        <f>MIN(J73:J81)</f>
        <v>-1.0438620203177977</v>
      </c>
    </row>
    <row r="50" spans="1:13" ht="14.25" thickBot="1" x14ac:dyDescent="0.5">
      <c r="A50" s="127"/>
      <c r="B50" s="17" t="s">
        <v>154</v>
      </c>
      <c r="C50" s="33" t="s">
        <v>101</v>
      </c>
      <c r="D50" s="26">
        <v>5.05</v>
      </c>
      <c r="E50" s="22">
        <v>852.38199999999995</v>
      </c>
      <c r="F50" s="24">
        <f>(E50+74.934)/39.37</f>
        <v>23.553873507747014</v>
      </c>
      <c r="G50" s="44">
        <f t="shared" si="10"/>
        <v>28.603873507747014</v>
      </c>
      <c r="H50" s="153"/>
      <c r="I50" s="131"/>
      <c r="J50" s="4">
        <f t="shared" si="11"/>
        <v>0</v>
      </c>
      <c r="K50" s="8">
        <f t="shared" si="8"/>
        <v>0</v>
      </c>
      <c r="L50" s="2" t="s">
        <v>200</v>
      </c>
      <c r="M50" s="2">
        <f>MAX(J73:J81)</f>
        <v>0.64982174642739887</v>
      </c>
    </row>
    <row r="51" spans="1:13" ht="15" customHeight="1" thickBot="1" x14ac:dyDescent="0.5">
      <c r="A51" s="125" t="s">
        <v>15</v>
      </c>
      <c r="B51" s="7" t="s">
        <v>155</v>
      </c>
      <c r="C51" s="27" t="s">
        <v>103</v>
      </c>
      <c r="D51" s="23">
        <v>5.649</v>
      </c>
      <c r="E51" s="22">
        <v>904.24</v>
      </c>
      <c r="F51" s="24">
        <f>(E51+15.551)/39.37</f>
        <v>23.362738125476255</v>
      </c>
      <c r="G51" s="41">
        <f t="shared" si="10"/>
        <v>29.011738125476256</v>
      </c>
      <c r="H51" s="41">
        <f t="shared" ref="H51:H59" si="12">IF(OR(NET_NAME="NA",F:F="NA"),"NA",G:G-AVERAGEA(DQS1_A_LENGTHS))</f>
        <v>7.4855219710485699E-3</v>
      </c>
      <c r="I51" s="155"/>
      <c r="J51" s="4">
        <f t="shared" si="11"/>
        <v>2.4969013633587039E-2</v>
      </c>
      <c r="K51" s="8">
        <f t="shared" si="8"/>
        <v>0.29470500000018218</v>
      </c>
      <c r="L51" s="2" t="s">
        <v>201</v>
      </c>
      <c r="M51" s="2">
        <f>AVERAGEA(J73:J81)</f>
        <v>-7.8198718758268421E-2</v>
      </c>
    </row>
    <row r="52" spans="1:13" ht="13.9" x14ac:dyDescent="0.45">
      <c r="A52" s="126"/>
      <c r="B52" s="8" t="s">
        <v>156</v>
      </c>
      <c r="C52" s="25" t="s">
        <v>104</v>
      </c>
      <c r="D52" s="24">
        <v>4.8170000000000002</v>
      </c>
      <c r="E52" s="22">
        <v>938.18399999999997</v>
      </c>
      <c r="F52" s="24">
        <f t="shared" ref="F52:F58" si="13">(E52+15.551)/39.37</f>
        <v>24.224917449834901</v>
      </c>
      <c r="G52" s="41">
        <f t="shared" si="10"/>
        <v>29.041917449834902</v>
      </c>
      <c r="H52" s="43">
        <f t="shared" si="12"/>
        <v>3.7664846329693802E-2</v>
      </c>
      <c r="I52" s="156"/>
      <c r="J52" s="4">
        <f t="shared" si="11"/>
        <v>0.12563640386741753</v>
      </c>
      <c r="K52" s="8">
        <f t="shared" si="8"/>
        <v>1.482865000000045</v>
      </c>
      <c r="L52" s="2" t="s">
        <v>216</v>
      </c>
      <c r="M52" s="2">
        <f>AVERAGEA(G82,G83)</f>
        <v>28.575178943357887</v>
      </c>
    </row>
    <row r="53" spans="1:13" ht="13.9" x14ac:dyDescent="0.45">
      <c r="A53" s="126"/>
      <c r="B53" s="8" t="s">
        <v>157</v>
      </c>
      <c r="C53" s="25" t="s">
        <v>105</v>
      </c>
      <c r="D53" s="24">
        <v>5.73</v>
      </c>
      <c r="E53" s="22">
        <v>902.70899999999995</v>
      </c>
      <c r="F53" s="24">
        <f t="shared" si="13"/>
        <v>23.323850647701295</v>
      </c>
      <c r="G53" s="43">
        <f t="shared" si="10"/>
        <v>29.053850647701296</v>
      </c>
      <c r="H53" s="43">
        <f t="shared" si="12"/>
        <v>4.9598044196088154E-2</v>
      </c>
      <c r="I53" s="156"/>
      <c r="J53" s="4">
        <f t="shared" si="11"/>
        <v>0.16544126735866102</v>
      </c>
      <c r="K53" s="8">
        <f t="shared" si="8"/>
        <v>1.9526749999999904</v>
      </c>
      <c r="L53" s="2" t="s">
        <v>209</v>
      </c>
      <c r="M53" s="2" t="e" cm="1" vm="1">
        <f t="array" ref="M53">_xlfn.TEXTJOIN(", ", TRUE, _xlfn._xlws.FILTER(C73:C81, ABS(G73:G81 - M52) &gt; 1.42))</f>
        <v>#VALUE!</v>
      </c>
    </row>
    <row r="54" spans="1:13" ht="13.9" x14ac:dyDescent="0.45">
      <c r="A54" s="126"/>
      <c r="B54" s="8" t="s">
        <v>158</v>
      </c>
      <c r="C54" s="25" t="s">
        <v>106</v>
      </c>
      <c r="D54" s="24">
        <v>5.3460000000000001</v>
      </c>
      <c r="E54" s="22">
        <v>905.18899999999996</v>
      </c>
      <c r="F54" s="24">
        <f t="shared" si="13"/>
        <v>23.386842773685551</v>
      </c>
      <c r="G54" s="43">
        <f t="shared" si="10"/>
        <v>28.732842773685551</v>
      </c>
      <c r="H54" s="43">
        <f t="shared" si="12"/>
        <v>-0.27140982981965678</v>
      </c>
      <c r="I54" s="156"/>
      <c r="J54" s="4">
        <f t="shared" si="11"/>
        <v>-0.90532574311678249</v>
      </c>
      <c r="K54" s="8">
        <f t="shared" si="8"/>
        <v>-10.685404999999887</v>
      </c>
    </row>
    <row r="55" spans="1:13" ht="13.9" x14ac:dyDescent="0.45">
      <c r="A55" s="126"/>
      <c r="B55" s="8" t="s">
        <v>159</v>
      </c>
      <c r="C55" s="25" t="s">
        <v>107</v>
      </c>
      <c r="D55" s="24">
        <v>4.7960000000000003</v>
      </c>
      <c r="E55" s="22">
        <v>937.87</v>
      </c>
      <c r="F55" s="24">
        <f t="shared" si="13"/>
        <v>24.21694183388367</v>
      </c>
      <c r="G55" s="43">
        <f t="shared" si="10"/>
        <v>29.012941833883669</v>
      </c>
      <c r="H55" s="43">
        <f t="shared" si="12"/>
        <v>8.6892303784615876E-3</v>
      </c>
      <c r="I55" s="156"/>
      <c r="J55" s="4">
        <f t="shared" si="11"/>
        <v>2.8984152691598361E-2</v>
      </c>
      <c r="K55" s="8">
        <f t="shared" si="8"/>
        <v>0.34209500000003268</v>
      </c>
    </row>
    <row r="56" spans="1:13" ht="13.9" x14ac:dyDescent="0.45">
      <c r="A56" s="126"/>
      <c r="B56" s="8" t="s">
        <v>160</v>
      </c>
      <c r="C56" s="25" t="s">
        <v>108</v>
      </c>
      <c r="D56" s="24">
        <v>5.085</v>
      </c>
      <c r="E56" s="22">
        <v>932.54100000000005</v>
      </c>
      <c r="F56" s="24">
        <f t="shared" si="13"/>
        <v>24.081584963169931</v>
      </c>
      <c r="G56" s="43">
        <f t="shared" si="10"/>
        <v>29.166584963169932</v>
      </c>
      <c r="H56" s="43">
        <f t="shared" si="12"/>
        <v>0.16233235966472392</v>
      </c>
      <c r="I56" s="156"/>
      <c r="J56" s="4">
        <f t="shared" si="11"/>
        <v>0.54148246672944633</v>
      </c>
      <c r="K56" s="8">
        <f t="shared" si="8"/>
        <v>6.3910250000001803</v>
      </c>
    </row>
    <row r="57" spans="1:13" ht="13.9" x14ac:dyDescent="0.45">
      <c r="A57" s="126"/>
      <c r="B57" s="8" t="s">
        <v>161</v>
      </c>
      <c r="C57" s="25" t="s">
        <v>109</v>
      </c>
      <c r="D57" s="24">
        <v>4.4160000000000004</v>
      </c>
      <c r="E57" s="22">
        <v>939.85799999999995</v>
      </c>
      <c r="F57" s="24">
        <f t="shared" si="13"/>
        <v>24.267437134874271</v>
      </c>
      <c r="G57" s="43">
        <f t="shared" si="10"/>
        <v>28.683437134874271</v>
      </c>
      <c r="H57" s="43">
        <f t="shared" si="12"/>
        <v>-0.32081546863093635</v>
      </c>
      <c r="I57" s="156"/>
      <c r="J57" s="4">
        <f t="shared" si="11"/>
        <v>-1.0701252151944942</v>
      </c>
      <c r="K57" s="8">
        <f t="shared" si="8"/>
        <v>-12.630504999999964</v>
      </c>
    </row>
    <row r="58" spans="1:13" ht="13.9" x14ac:dyDescent="0.45">
      <c r="A58" s="126"/>
      <c r="B58" s="8" t="s">
        <v>162</v>
      </c>
      <c r="C58" s="25" t="s">
        <v>110</v>
      </c>
      <c r="D58" s="24">
        <v>5.2270000000000003</v>
      </c>
      <c r="E58" s="22">
        <v>918.31100000000004</v>
      </c>
      <c r="F58" s="24">
        <f t="shared" si="13"/>
        <v>23.720142240284485</v>
      </c>
      <c r="G58" s="43">
        <f t="shared" si="10"/>
        <v>28.947142240284485</v>
      </c>
      <c r="H58" s="43">
        <f t="shared" si="12"/>
        <v>-5.7110363220722604E-2</v>
      </c>
      <c r="I58" s="156"/>
      <c r="J58" s="4">
        <f t="shared" si="11"/>
        <v>-0.19049966634158155</v>
      </c>
      <c r="K58" s="8">
        <f t="shared" si="8"/>
        <v>-2.2484349999998487</v>
      </c>
    </row>
    <row r="59" spans="1:13" ht="13.9" x14ac:dyDescent="0.45">
      <c r="A59" s="126"/>
      <c r="B59" s="8" t="s">
        <v>185</v>
      </c>
      <c r="C59" s="4" t="s">
        <v>111</v>
      </c>
      <c r="D59" s="24">
        <v>5.2050000000000001</v>
      </c>
      <c r="E59" s="22">
        <v>939.71299999999997</v>
      </c>
      <c r="F59" s="24">
        <f>E59/39.37</f>
        <v>23.868757937515877</v>
      </c>
      <c r="G59" s="43">
        <f t="shared" si="10"/>
        <v>29.073757937515879</v>
      </c>
      <c r="H59" s="43">
        <f t="shared" si="12"/>
        <v>6.9505334010671049E-2</v>
      </c>
      <c r="I59" s="157"/>
      <c r="J59" s="4">
        <f t="shared" si="11"/>
        <v>0.23184483850714835</v>
      </c>
      <c r="K59" s="8">
        <f t="shared" si="8"/>
        <v>2.7364250000001191</v>
      </c>
    </row>
    <row r="60" spans="1:13" ht="13.9" x14ac:dyDescent="0.45">
      <c r="A60" s="126"/>
      <c r="B60" s="8" t="s">
        <v>163</v>
      </c>
      <c r="C60" s="4" t="s">
        <v>112</v>
      </c>
      <c r="D60" s="24">
        <v>6.7169999999999996</v>
      </c>
      <c r="E60" s="22">
        <v>799.53099999999995</v>
      </c>
      <c r="F60" s="24">
        <f>(E60+74.934)/39.37</f>
        <v>22.211455422910845</v>
      </c>
      <c r="G60" s="43">
        <f t="shared" si="10"/>
        <v>28.928455422910844</v>
      </c>
      <c r="H60" s="152"/>
      <c r="I60" s="150">
        <f>IF(OR(NET_NAME="NA",F:F="NA"),"NA",AVERAGEA(DQS1_A_LENGTHS)-AVERAGEA(CLOCK_A_LENGHTS))</f>
        <v>1.7082815595631189</v>
      </c>
      <c r="J60" s="4">
        <f t="shared" si="11"/>
        <v>0</v>
      </c>
      <c r="K60" s="8">
        <f t="shared" si="8"/>
        <v>0</v>
      </c>
    </row>
    <row r="61" spans="1:13" ht="14.25" thickBot="1" x14ac:dyDescent="0.5">
      <c r="A61" s="127"/>
      <c r="B61" s="17" t="s">
        <v>164</v>
      </c>
      <c r="C61" s="33" t="s">
        <v>113</v>
      </c>
      <c r="D61" s="26">
        <v>6.8879999999999999</v>
      </c>
      <c r="E61" s="22">
        <v>798.76700000000005</v>
      </c>
      <c r="F61" s="24">
        <f>(E61+74.934)/39.37</f>
        <v>22.19204978409957</v>
      </c>
      <c r="G61" s="44">
        <f t="shared" si="10"/>
        <v>29.080049784099572</v>
      </c>
      <c r="H61" s="153"/>
      <c r="I61" s="151"/>
      <c r="J61" s="4">
        <f t="shared" si="11"/>
        <v>0</v>
      </c>
      <c r="K61" s="8">
        <f t="shared" si="8"/>
        <v>0</v>
      </c>
    </row>
    <row r="62" spans="1:13" ht="15" customHeight="1" x14ac:dyDescent="0.45">
      <c r="A62" s="125" t="s">
        <v>52</v>
      </c>
      <c r="B62" s="7" t="s">
        <v>165</v>
      </c>
      <c r="C62" s="27" t="s">
        <v>115</v>
      </c>
      <c r="D62" s="23">
        <v>4.5730000000000004</v>
      </c>
      <c r="E62" s="22">
        <v>933.91499999999996</v>
      </c>
      <c r="F62" s="24">
        <f>(E62+15.551)/39.37</f>
        <v>24.116484632969268</v>
      </c>
      <c r="G62" s="41">
        <f t="shared" si="10"/>
        <v>28.689484632969268</v>
      </c>
      <c r="H62" s="41">
        <f t="shared" ref="H62:H70" si="14">IF(OR(NET_NAME="NA",F:F="NA"),"NA",G:G-AVERAGEA(DQS0_B_LENGTHS))</f>
        <v>-0.30268656337312549</v>
      </c>
      <c r="I62" s="132"/>
      <c r="J62" s="4">
        <f t="shared" si="11"/>
        <v>-1.0096536964019471</v>
      </c>
      <c r="K62" s="8">
        <f t="shared" si="8"/>
        <v>-11.91676999999995</v>
      </c>
    </row>
    <row r="63" spans="1:13" ht="13.9" x14ac:dyDescent="0.45">
      <c r="A63" s="126"/>
      <c r="B63" s="8" t="s">
        <v>166</v>
      </c>
      <c r="C63" s="25" t="s">
        <v>116</v>
      </c>
      <c r="D63" s="24">
        <v>5.3460000000000001</v>
      </c>
      <c r="E63" s="22">
        <v>905.04200000000003</v>
      </c>
      <c r="F63" s="24">
        <f t="shared" ref="F63:F69" si="15">(E63+15.551)/39.37</f>
        <v>23.383108966217936</v>
      </c>
      <c r="G63" s="43">
        <f t="shared" si="10"/>
        <v>28.729108966217936</v>
      </c>
      <c r="H63" s="43">
        <f t="shared" si="14"/>
        <v>-0.26306223012445784</v>
      </c>
      <c r="I63" s="133"/>
      <c r="J63" s="4">
        <f t="shared" si="11"/>
        <v>-0.87748114772272845</v>
      </c>
      <c r="K63" s="8">
        <f t="shared" si="8"/>
        <v>-10.356759999999905</v>
      </c>
    </row>
    <row r="64" spans="1:13" ht="13.9" x14ac:dyDescent="0.45">
      <c r="A64" s="126"/>
      <c r="B64" s="8" t="s">
        <v>167</v>
      </c>
      <c r="C64" s="25" t="s">
        <v>117</v>
      </c>
      <c r="D64" s="24">
        <v>5.0060000000000002</v>
      </c>
      <c r="E64" s="22">
        <v>943.68299999999999</v>
      </c>
      <c r="F64" s="24">
        <f t="shared" si="15"/>
        <v>24.36459232918466</v>
      </c>
      <c r="G64" s="43">
        <f t="shared" si="10"/>
        <v>29.37059232918466</v>
      </c>
      <c r="H64" s="43">
        <f t="shared" si="14"/>
        <v>0.37842113284226642</v>
      </c>
      <c r="I64" s="133"/>
      <c r="J64" s="4">
        <f t="shared" si="11"/>
        <v>1.2622770278039031</v>
      </c>
      <c r="K64" s="8">
        <f t="shared" si="8"/>
        <v>14.898440000000027</v>
      </c>
    </row>
    <row r="65" spans="1:12" ht="13.9" x14ac:dyDescent="0.45">
      <c r="A65" s="126"/>
      <c r="B65" s="8" t="s">
        <v>168</v>
      </c>
      <c r="C65" s="25" t="s">
        <v>118</v>
      </c>
      <c r="D65" s="24">
        <v>5.3470000000000004</v>
      </c>
      <c r="E65" s="22">
        <v>934.13300000000004</v>
      </c>
      <c r="F65" s="24">
        <f t="shared" si="15"/>
        <v>24.12202184404369</v>
      </c>
      <c r="G65" s="43">
        <f t="shared" si="10"/>
        <v>29.469021844043692</v>
      </c>
      <c r="H65" s="43">
        <f t="shared" si="14"/>
        <v>0.4768506477012977</v>
      </c>
      <c r="I65" s="133"/>
      <c r="J65" s="4">
        <f t="shared" si="11"/>
        <v>1.5906025484513613</v>
      </c>
      <c r="K65" s="8">
        <f t="shared" si="8"/>
        <v>18.77361000000009</v>
      </c>
    </row>
    <row r="66" spans="1:12" ht="13.9" x14ac:dyDescent="0.45">
      <c r="A66" s="126"/>
      <c r="B66" s="8" t="s">
        <v>169</v>
      </c>
      <c r="C66" s="25" t="s">
        <v>119</v>
      </c>
      <c r="D66" s="24">
        <v>4.2869999999999999</v>
      </c>
      <c r="E66" s="22">
        <v>959.755</v>
      </c>
      <c r="F66" s="24">
        <f t="shared" si="15"/>
        <v>24.772821945643894</v>
      </c>
      <c r="G66" s="43">
        <f t="shared" si="10"/>
        <v>29.059821945643893</v>
      </c>
      <c r="H66" s="43">
        <f t="shared" si="14"/>
        <v>6.7650749301499502E-2</v>
      </c>
      <c r="I66" s="133"/>
      <c r="J66" s="4">
        <f t="shared" si="11"/>
        <v>0.22565860980231697</v>
      </c>
      <c r="K66" s="8">
        <f t="shared" si="8"/>
        <v>2.6634100000000354</v>
      </c>
    </row>
    <row r="67" spans="1:12" ht="13.9" x14ac:dyDescent="0.45">
      <c r="A67" s="126"/>
      <c r="B67" s="8" t="s">
        <v>170</v>
      </c>
      <c r="C67" s="25" t="s">
        <v>120</v>
      </c>
      <c r="D67" s="24">
        <v>4.6520000000000001</v>
      </c>
      <c r="E67" s="22">
        <v>945.995</v>
      </c>
      <c r="F67" s="24">
        <f t="shared" si="15"/>
        <v>24.423317246634497</v>
      </c>
      <c r="G67" s="43">
        <f t="shared" si="10"/>
        <v>29.075317246634498</v>
      </c>
      <c r="H67" s="43">
        <f t="shared" si="14"/>
        <v>8.3146050292103979E-2</v>
      </c>
      <c r="I67" s="133"/>
      <c r="J67" s="4">
        <f t="shared" si="11"/>
        <v>0.27734537034985712</v>
      </c>
      <c r="K67" s="8">
        <f t="shared" si="8"/>
        <v>3.2734600000001333</v>
      </c>
    </row>
    <row r="68" spans="1:12" ht="13.9" x14ac:dyDescent="0.45">
      <c r="A68" s="126"/>
      <c r="B68" s="8" t="s">
        <v>171</v>
      </c>
      <c r="C68" s="25" t="s">
        <v>135</v>
      </c>
      <c r="D68" s="24">
        <v>6.4889999999999999</v>
      </c>
      <c r="E68" s="22">
        <v>861.87800000000004</v>
      </c>
      <c r="F68" s="24">
        <f t="shared" si="15"/>
        <v>22.286741173482351</v>
      </c>
      <c r="G68" s="43">
        <f t="shared" si="10"/>
        <v>28.775741173482352</v>
      </c>
      <c r="H68" s="43">
        <f t="shared" si="14"/>
        <v>-0.21643002286004176</v>
      </c>
      <c r="I68" s="133"/>
      <c r="J68" s="4">
        <f t="shared" si="11"/>
        <v>-0.72193284749025188</v>
      </c>
      <c r="K68" s="8">
        <f t="shared" si="8"/>
        <v>-8.520849999999843</v>
      </c>
    </row>
    <row r="69" spans="1:12" ht="13.9" x14ac:dyDescent="0.45">
      <c r="A69" s="126"/>
      <c r="B69" s="8" t="s">
        <v>173</v>
      </c>
      <c r="C69" s="25" t="s">
        <v>121</v>
      </c>
      <c r="D69" s="24">
        <v>4.242</v>
      </c>
      <c r="E69" s="22">
        <v>950.548</v>
      </c>
      <c r="F69" s="24">
        <f t="shared" si="15"/>
        <v>24.538963677927359</v>
      </c>
      <c r="G69" s="43">
        <f t="shared" si="10"/>
        <v>28.78096367792736</v>
      </c>
      <c r="H69" s="43">
        <f t="shared" si="14"/>
        <v>-0.21120751841503349</v>
      </c>
      <c r="I69" s="133"/>
      <c r="J69" s="4">
        <f t="shared" si="11"/>
        <v>-0.70451244779157685</v>
      </c>
      <c r="K69" s="8">
        <f t="shared" si="8"/>
        <v>-8.3152399999998678</v>
      </c>
    </row>
    <row r="70" spans="1:12" ht="13.9" x14ac:dyDescent="0.45">
      <c r="A70" s="126"/>
      <c r="B70" s="8" t="s">
        <v>172</v>
      </c>
      <c r="C70" s="4" t="s">
        <v>122</v>
      </c>
      <c r="D70" s="24">
        <v>6.7569999999999997</v>
      </c>
      <c r="E70" s="22">
        <v>852.31600000000003</v>
      </c>
      <c r="F70" s="24">
        <f>E70/39.37</f>
        <v>21.648869697739396</v>
      </c>
      <c r="G70" s="43">
        <f t="shared" si="10"/>
        <v>28.405869697739398</v>
      </c>
      <c r="H70" s="43">
        <f t="shared" si="14"/>
        <v>-0.58630149860299596</v>
      </c>
      <c r="I70" s="133"/>
      <c r="J70" s="4">
        <f t="shared" si="11"/>
        <v>-1.9556912889482896</v>
      </c>
      <c r="K70" s="8">
        <f t="shared" si="8"/>
        <v>-23.08268999999995</v>
      </c>
    </row>
    <row r="71" spans="1:12" ht="13.9" x14ac:dyDescent="0.45">
      <c r="A71" s="126"/>
      <c r="B71" s="8" t="s">
        <v>186</v>
      </c>
      <c r="C71" s="4" t="s">
        <v>123</v>
      </c>
      <c r="D71" s="24">
        <v>5.1989999999999998</v>
      </c>
      <c r="E71" s="22">
        <v>855.13499999999999</v>
      </c>
      <c r="F71" s="24">
        <f>(E71+74.934)/39.37</f>
        <v>23.623799847599695</v>
      </c>
      <c r="G71" s="43">
        <f t="shared" si="10"/>
        <v>28.822799847599697</v>
      </c>
      <c r="H71" s="152"/>
      <c r="I71" s="150">
        <f>IF(OR(NET_NAME="NA",F:F="NA"),"NA",AVERAGEA(DQS0_B_LENGTHS)-AVERAGEA(CLOCK_B_LENGHTS))</f>
        <v>1.3694672339344685</v>
      </c>
      <c r="J71" s="4">
        <f t="shared" si="11"/>
        <v>0</v>
      </c>
      <c r="K71" s="8">
        <f t="shared" si="8"/>
        <v>0</v>
      </c>
    </row>
    <row r="72" spans="1:12" ht="14.25" thickBot="1" x14ac:dyDescent="0.5">
      <c r="A72" s="128"/>
      <c r="B72" s="9" t="s">
        <v>187</v>
      </c>
      <c r="C72" s="34" t="s">
        <v>124</v>
      </c>
      <c r="D72" s="31">
        <v>5.4889999999999999</v>
      </c>
      <c r="E72" s="22">
        <v>857.05399999999997</v>
      </c>
      <c r="F72" s="24">
        <f>(E72+74.934)/39.37</f>
        <v>23.67254254508509</v>
      </c>
      <c r="G72" s="47">
        <f t="shared" si="10"/>
        <v>29.161542545085091</v>
      </c>
      <c r="H72" s="154"/>
      <c r="I72" s="151"/>
      <c r="J72" s="4">
        <f t="shared" si="11"/>
        <v>0</v>
      </c>
      <c r="K72" s="8">
        <f t="shared" si="8"/>
        <v>0</v>
      </c>
    </row>
    <row r="73" spans="1:12" ht="15" customHeight="1" x14ac:dyDescent="0.45">
      <c r="A73" s="125" t="s">
        <v>53</v>
      </c>
      <c r="B73" s="7" t="s">
        <v>174</v>
      </c>
      <c r="C73" s="27" t="s">
        <v>114</v>
      </c>
      <c r="D73" s="23">
        <v>4.1710000000000003</v>
      </c>
      <c r="E73" s="22">
        <v>932.92100000000005</v>
      </c>
      <c r="F73" s="24">
        <f>(E73+15.551)/39.37</f>
        <v>24.091236982473969</v>
      </c>
      <c r="G73" s="41">
        <f t="shared" si="10"/>
        <v>28.262236982473969</v>
      </c>
      <c r="H73" s="41">
        <f t="shared" ref="H73:H81" si="16">IF(OR(NET_NAME="NA",F:F="NA"),"NA",G:G-AVERAGEA(DQS1_B_LENGTHS))</f>
        <v>-0.31294196088391857</v>
      </c>
      <c r="I73" s="132"/>
      <c r="J73" s="4">
        <f t="shared" si="11"/>
        <v>-1.0438620203177977</v>
      </c>
      <c r="K73" s="8">
        <f t="shared" si="8"/>
        <v>-12.320524999999874</v>
      </c>
      <c r="L73" s="2">
        <f>AVERAGE(K73,K74,K75,K76,K77,K78,K79,K80,K81)</f>
        <v>-0.92296611111101656</v>
      </c>
    </row>
    <row r="74" spans="1:12" ht="13.9" x14ac:dyDescent="0.45">
      <c r="A74" s="126"/>
      <c r="B74" s="8" t="s">
        <v>175</v>
      </c>
      <c r="C74" s="25" t="s">
        <v>125</v>
      </c>
      <c r="D74" s="24">
        <v>4.1859999999999999</v>
      </c>
      <c r="E74" s="22">
        <v>939.274</v>
      </c>
      <c r="F74" s="24">
        <f t="shared" ref="F74:F80" si="17">(E74+15.551)/39.37</f>
        <v>24.252603505207013</v>
      </c>
      <c r="G74" s="43">
        <f t="shared" si="10"/>
        <v>28.438603505207013</v>
      </c>
      <c r="H74" s="43">
        <f t="shared" si="16"/>
        <v>-0.13657543815087436</v>
      </c>
      <c r="I74" s="133"/>
      <c r="J74" s="4">
        <f t="shared" si="11"/>
        <v>-0.45556662453087582</v>
      </c>
      <c r="K74" s="8">
        <f t="shared" si="8"/>
        <v>-5.3769749999999235</v>
      </c>
    </row>
    <row r="75" spans="1:12" ht="13.9" x14ac:dyDescent="0.45">
      <c r="A75" s="126"/>
      <c r="B75" s="8" t="s">
        <v>176</v>
      </c>
      <c r="C75" s="25" t="s">
        <v>126</v>
      </c>
      <c r="D75" s="24">
        <v>4.3129999999999997</v>
      </c>
      <c r="E75" s="22">
        <v>938.81299999999999</v>
      </c>
      <c r="F75" s="24">
        <f t="shared" si="17"/>
        <v>24.240894081788166</v>
      </c>
      <c r="G75" s="43">
        <f t="shared" si="10"/>
        <v>28.553894081788165</v>
      </c>
      <c r="H75" s="43">
        <f t="shared" si="16"/>
        <v>-2.1284861569721869E-2</v>
      </c>
      <c r="I75" s="133"/>
      <c r="J75" s="4">
        <f t="shared" si="11"/>
        <v>-7.0998655909221928E-2</v>
      </c>
      <c r="K75" s="8">
        <f t="shared" si="8"/>
        <v>-0.83798499999994991</v>
      </c>
    </row>
    <row r="76" spans="1:12" ht="13.9" x14ac:dyDescent="0.45">
      <c r="A76" s="126"/>
      <c r="B76" s="8" t="s">
        <v>177</v>
      </c>
      <c r="C76" s="25" t="s">
        <v>127</v>
      </c>
      <c r="D76" s="24">
        <v>5.0910000000000002</v>
      </c>
      <c r="E76" s="22">
        <v>906.36</v>
      </c>
      <c r="F76" s="24">
        <f t="shared" si="17"/>
        <v>23.41658623317247</v>
      </c>
      <c r="G76" s="43">
        <f t="shared" si="10"/>
        <v>28.507586233172471</v>
      </c>
      <c r="H76" s="43">
        <f t="shared" si="16"/>
        <v>-6.7592710185415683E-2</v>
      </c>
      <c r="I76" s="133"/>
      <c r="J76" s="4">
        <f t="shared" si="11"/>
        <v>-0.22546501214989098</v>
      </c>
      <c r="K76" s="8">
        <f t="shared" si="8"/>
        <v>-2.6611249999998154</v>
      </c>
    </row>
    <row r="77" spans="1:12" ht="13.9" x14ac:dyDescent="0.45">
      <c r="A77" s="126"/>
      <c r="B77" s="8" t="s">
        <v>178</v>
      </c>
      <c r="C77" s="25" t="s">
        <v>128</v>
      </c>
      <c r="D77" s="24">
        <v>3.552</v>
      </c>
      <c r="E77" s="22">
        <v>968.93799999999999</v>
      </c>
      <c r="F77" s="24">
        <f t="shared" si="17"/>
        <v>25.006070612141226</v>
      </c>
      <c r="G77" s="43">
        <f t="shared" si="10"/>
        <v>28.558070612141226</v>
      </c>
      <c r="H77" s="43">
        <f t="shared" si="16"/>
        <v>-1.7108331216661554E-2</v>
      </c>
      <c r="I77" s="133"/>
      <c r="J77" s="4">
        <f t="shared" si="11"/>
        <v>-5.7067250226360111E-2</v>
      </c>
      <c r="K77" s="8">
        <f t="shared" si="8"/>
        <v>-0.67355499999996538</v>
      </c>
    </row>
    <row r="78" spans="1:12" ht="13.9" x14ac:dyDescent="0.45">
      <c r="A78" s="126"/>
      <c r="B78" s="8" t="s">
        <v>179</v>
      </c>
      <c r="C78" s="25" t="s">
        <v>129</v>
      </c>
      <c r="D78" s="24">
        <v>5.47</v>
      </c>
      <c r="E78" s="22">
        <v>897.58799999999997</v>
      </c>
      <c r="F78" s="24">
        <f t="shared" si="17"/>
        <v>23.193776987553978</v>
      </c>
      <c r="G78" s="43">
        <f t="shared" si="10"/>
        <v>28.663776987553977</v>
      </c>
      <c r="H78" s="43">
        <f t="shared" si="16"/>
        <v>8.8598044196089631E-2</v>
      </c>
      <c r="I78" s="133"/>
      <c r="J78" s="4">
        <f t="shared" si="11"/>
        <v>0.29553126448594524</v>
      </c>
      <c r="K78" s="8">
        <f t="shared" si="8"/>
        <v>3.4881050000000484</v>
      </c>
    </row>
    <row r="79" spans="1:12" ht="13.9" x14ac:dyDescent="0.45">
      <c r="A79" s="126"/>
      <c r="B79" s="8" t="s">
        <v>180</v>
      </c>
      <c r="C79" s="25" t="s">
        <v>130</v>
      </c>
      <c r="D79" s="24">
        <v>4.9690000000000003</v>
      </c>
      <c r="E79" s="22">
        <v>921.49400000000003</v>
      </c>
      <c r="F79" s="24">
        <f t="shared" si="17"/>
        <v>23.800990601981209</v>
      </c>
      <c r="G79" s="43">
        <f t="shared" si="10"/>
        <v>28.76999060198121</v>
      </c>
      <c r="H79" s="43">
        <f t="shared" si="16"/>
        <v>0.19481165862332261</v>
      </c>
      <c r="I79" s="133"/>
      <c r="J79" s="4">
        <f t="shared" si="11"/>
        <v>0.64982174642739887</v>
      </c>
      <c r="K79" s="8">
        <f t="shared" si="8"/>
        <v>7.6697350000002107</v>
      </c>
    </row>
    <row r="80" spans="1:12" ht="13.9" x14ac:dyDescent="0.45">
      <c r="A80" s="126"/>
      <c r="B80" s="8" t="s">
        <v>181</v>
      </c>
      <c r="C80" s="25" t="s">
        <v>131</v>
      </c>
      <c r="D80" s="24">
        <v>5.165</v>
      </c>
      <c r="E80" s="22">
        <v>903.14099999999996</v>
      </c>
      <c r="F80" s="24">
        <f t="shared" si="17"/>
        <v>23.334823469646942</v>
      </c>
      <c r="G80" s="43">
        <f t="shared" si="10"/>
        <v>28.499823469646941</v>
      </c>
      <c r="H80" s="43">
        <f t="shared" si="16"/>
        <v>-7.5355473710946086E-2</v>
      </c>
      <c r="I80" s="133"/>
      <c r="J80" s="4">
        <f t="shared" si="11"/>
        <v>-0.25135880406619865</v>
      </c>
      <c r="K80" s="8">
        <f t="shared" si="8"/>
        <v>-2.9667449999999471</v>
      </c>
    </row>
    <row r="81" spans="1:11" ht="13.9" x14ac:dyDescent="0.45">
      <c r="A81" s="126"/>
      <c r="B81" s="8" t="s">
        <v>182</v>
      </c>
      <c r="C81" s="4" t="s">
        <v>132</v>
      </c>
      <c r="D81" s="24">
        <v>4.8410000000000002</v>
      </c>
      <c r="E81" s="22">
        <v>939.78700000000003</v>
      </c>
      <c r="F81" s="24">
        <f>E81/39.37</f>
        <v>23.870637541275084</v>
      </c>
      <c r="G81" s="43">
        <f t="shared" si="10"/>
        <v>28.711637541275085</v>
      </c>
      <c r="H81" s="43">
        <f t="shared" si="16"/>
        <v>0.13645859791719772</v>
      </c>
      <c r="I81" s="133"/>
      <c r="J81" s="4">
        <f t="shared" si="11"/>
        <v>0.45517688746258494</v>
      </c>
      <c r="K81" s="8">
        <f t="shared" si="8"/>
        <v>5.3723750000000736</v>
      </c>
    </row>
    <row r="82" spans="1:11" ht="13.9" x14ac:dyDescent="0.45">
      <c r="A82" s="126"/>
      <c r="B82" s="8" t="s">
        <v>183</v>
      </c>
      <c r="C82" s="4" t="s">
        <v>133</v>
      </c>
      <c r="D82" s="24">
        <v>4.976</v>
      </c>
      <c r="E82" s="22">
        <v>858.28599999999994</v>
      </c>
      <c r="F82" s="24">
        <f>(E82+74.934)/39.37</f>
        <v>23.703835407670816</v>
      </c>
      <c r="G82" s="43">
        <f t="shared" si="10"/>
        <v>28.679835407670815</v>
      </c>
      <c r="H82" s="152"/>
      <c r="I82" s="150">
        <f>IF(OR(NET_NAME="NA",F:F="NA"),"NA",AVERAGEA(DQS1_B_LENGTHS)-AVERAGEA(CLOCK_B_LENGHTS))</f>
        <v>0.95247498094996175</v>
      </c>
      <c r="J82" s="4">
        <f t="shared" si="11"/>
        <v>0</v>
      </c>
      <c r="K82" s="8">
        <f t="shared" si="8"/>
        <v>0</v>
      </c>
    </row>
    <row r="83" spans="1:11" ht="14.25" thickBot="1" x14ac:dyDescent="0.5">
      <c r="A83" s="127"/>
      <c r="B83" s="17" t="s">
        <v>184</v>
      </c>
      <c r="C83" s="33" t="s">
        <v>134</v>
      </c>
      <c r="D83" s="26">
        <v>4.6310000000000002</v>
      </c>
      <c r="E83" s="22">
        <v>863.62800000000004</v>
      </c>
      <c r="F83" s="24">
        <f>(E83+74.934)/39.37</f>
        <v>23.839522479044959</v>
      </c>
      <c r="G83" s="44">
        <f t="shared" si="10"/>
        <v>28.470522479044959</v>
      </c>
      <c r="H83" s="153"/>
      <c r="I83" s="151"/>
      <c r="J83" s="4">
        <f t="shared" si="11"/>
        <v>0</v>
      </c>
      <c r="K83" s="8">
        <f t="shared" si="8"/>
        <v>0</v>
      </c>
    </row>
    <row r="85" spans="1:11" x14ac:dyDescent="0.45">
      <c r="J85" s="4"/>
    </row>
    <row r="86" spans="1:11" x14ac:dyDescent="0.45">
      <c r="F86" s="32"/>
    </row>
  </sheetData>
  <mergeCells count="37">
    <mergeCell ref="N13:O13"/>
    <mergeCell ref="N12:O12"/>
    <mergeCell ref="N16:O16"/>
    <mergeCell ref="L21:M21"/>
    <mergeCell ref="L34:M34"/>
    <mergeCell ref="A1:I1"/>
    <mergeCell ref="H19:H20"/>
    <mergeCell ref="L1:M1"/>
    <mergeCell ref="L6:M7"/>
    <mergeCell ref="I82:I83"/>
    <mergeCell ref="H49:H50"/>
    <mergeCell ref="H60:H61"/>
    <mergeCell ref="H71:H72"/>
    <mergeCell ref="H82:H83"/>
    <mergeCell ref="I51:I59"/>
    <mergeCell ref="I60:I61"/>
    <mergeCell ref="I62:I70"/>
    <mergeCell ref="I71:I72"/>
    <mergeCell ref="I73:I81"/>
    <mergeCell ref="A73:A83"/>
    <mergeCell ref="A3:A33"/>
    <mergeCell ref="H7:H8"/>
    <mergeCell ref="A51:A61"/>
    <mergeCell ref="A62:A72"/>
    <mergeCell ref="L12:M12"/>
    <mergeCell ref="A40:A50"/>
    <mergeCell ref="I49:I50"/>
    <mergeCell ref="I40:I48"/>
    <mergeCell ref="I3:I18"/>
    <mergeCell ref="I19:I20"/>
    <mergeCell ref="I21:I33"/>
    <mergeCell ref="L13:M13"/>
    <mergeCell ref="L15:M15"/>
    <mergeCell ref="L28:M28"/>
    <mergeCell ref="L48:M48"/>
    <mergeCell ref="L41:M41"/>
    <mergeCell ref="L8:M8"/>
  </mergeCells>
  <phoneticPr fontId="2" type="noConversion"/>
  <conditionalFormatting sqref="G3:G33">
    <cfRule type="colorScale" priority="89">
      <colorScale>
        <cfvo type="min"/>
        <cfvo type="percentile" val="50"/>
        <cfvo type="max"/>
        <color rgb="FF63BE7B"/>
        <color rgb="FFFFEB84"/>
        <color rgb="FFF8696B"/>
      </colorScale>
    </cfRule>
  </conditionalFormatting>
  <conditionalFormatting sqref="G40:G50">
    <cfRule type="colorScale" priority="81">
      <colorScale>
        <cfvo type="min"/>
        <cfvo type="percentile" val="50"/>
        <cfvo type="max"/>
        <color rgb="FF63BE7B"/>
        <color rgb="FFFFEB84"/>
        <color rgb="FFF8696B"/>
      </colorScale>
    </cfRule>
  </conditionalFormatting>
  <conditionalFormatting sqref="G51:G61">
    <cfRule type="colorScale" priority="82">
      <colorScale>
        <cfvo type="min"/>
        <cfvo type="percentile" val="50"/>
        <cfvo type="max"/>
        <color rgb="FF63BE7B"/>
        <color rgb="FFFFEB84"/>
        <color rgb="FFF8696B"/>
      </colorScale>
    </cfRule>
  </conditionalFormatting>
  <conditionalFormatting sqref="G62:G72">
    <cfRule type="colorScale" priority="83">
      <colorScale>
        <cfvo type="min"/>
        <cfvo type="percentile" val="50"/>
        <cfvo type="max"/>
        <color rgb="FF63BE7B"/>
        <color rgb="FFFFEB84"/>
        <color rgb="FFF8696B"/>
      </colorScale>
    </cfRule>
  </conditionalFormatting>
  <conditionalFormatting sqref="G73:G83">
    <cfRule type="colorScale" priority="84">
      <colorScale>
        <cfvo type="min"/>
        <cfvo type="percentile" val="50"/>
        <cfvo type="max"/>
        <color rgb="FF63BE7B"/>
        <color rgb="FFFFEB84"/>
        <color rgb="FFF8696B"/>
      </colorScale>
    </cfRule>
  </conditionalFormatting>
  <conditionalFormatting sqref="H3:H33">
    <cfRule type="cellIs" dxfId="19" priority="121" operator="between">
      <formula>-3.55</formula>
      <formula>3.55</formula>
    </cfRule>
    <cfRule type="cellIs" dxfId="18" priority="122" operator="notBetween">
      <formula>-3.55</formula>
      <formula>3.55</formula>
    </cfRule>
  </conditionalFormatting>
  <conditionalFormatting sqref="H40:H83">
    <cfRule type="cellIs" dxfId="17" priority="85" operator="notBetween">
      <formula>-1.42</formula>
      <formula>1.42</formula>
    </cfRule>
    <cfRule type="cellIs" dxfId="16" priority="86" operator="between">
      <formula>-1.42</formula>
      <formula>1.42</formula>
    </cfRule>
  </conditionalFormatting>
  <conditionalFormatting sqref="I19 A1:M1 I2:I3 J3:M3 L4:M7 J4:K26 L8 L9:M12 I21">
    <cfRule type="expression" dxfId="15" priority="70">
      <formula>CELL("protect",A1)=0</formula>
    </cfRule>
  </conditionalFormatting>
  <conditionalFormatting sqref="I19">
    <cfRule type="cellIs" dxfId="14" priority="68" operator="between">
      <formula>-14.5</formula>
      <formula>14.5</formula>
    </cfRule>
    <cfRule type="cellIs" dxfId="13" priority="69" operator="notBetween">
      <formula>-14.5</formula>
      <formula>14.5</formula>
    </cfRule>
  </conditionalFormatting>
  <conditionalFormatting sqref="I49 I60 I71 I82">
    <cfRule type="cellIs" dxfId="12" priority="87" operator="notBetween">
      <formula>-12.07</formula>
      <formula>12.07</formula>
    </cfRule>
    <cfRule type="cellIs" dxfId="11" priority="88" operator="between">
      <formula>-12.07</formula>
      <formula>12.07</formula>
    </cfRule>
  </conditionalFormatting>
  <conditionalFormatting sqref="L13 J4:K26">
    <cfRule type="cellIs" dxfId="10" priority="74" stopIfTrue="1" operator="equal">
      <formula>"NA"</formula>
    </cfRule>
  </conditionalFormatting>
  <conditionalFormatting sqref="L13">
    <cfRule type="expression" dxfId="9" priority="73">
      <formula>CELL("protect",L13)=0</formula>
    </cfRule>
  </conditionalFormatting>
  <conditionalFormatting sqref="L48:L53">
    <cfRule type="expression" dxfId="8" priority="26">
      <formula>CELL("protect",L48)=0</formula>
    </cfRule>
  </conditionalFormatting>
  <conditionalFormatting sqref="L14:M14 M16:M18 M22:M25 J27:M32 M35:M39 L41:M46 M49:M52 L49:L53 L53:M54 L61:M83 A1:M1 J3:M3 L4:M7 L8 L9:M12">
    <cfRule type="cellIs" dxfId="7" priority="79" stopIfTrue="1" operator="equal">
      <formula>"NA"</formula>
    </cfRule>
  </conditionalFormatting>
  <conditionalFormatting sqref="L14:M14 M16:M18 M22:M25 J27:M32 M35:M39 L41:M46 M49:M52 L53:M54 L61:M83">
    <cfRule type="expression" dxfId="6" priority="76">
      <formula>CELL("protect",J14)=0</formula>
    </cfRule>
  </conditionalFormatting>
  <printOptions horizontalCentered="1" verticalCentered="1" gridLines="1"/>
  <pageMargins left="0.51181102362204722" right="0.51181102362204722" top="0.55118110236220474" bottom="0.55118110236220474" header="0.31496062992125984" footer="0.31496062992125984"/>
  <pageSetup paperSize="8" orientation="landscape" horizontalDpi="300" verticalDpi="300" r:id="rId1"/>
  <headerFooter>
    <oddHeader>&amp;F</oddHeader>
    <oddFooter>Page &amp;P de &amp;N&amp;R&amp;1#&amp;"Arial"&amp;12&amp;KFF0000ST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45C6-D6AA-43B7-8789-520B4B4F3A4C}">
  <dimension ref="A1:J31"/>
  <sheetViews>
    <sheetView zoomScale="55" workbookViewId="0">
      <selection sqref="A1:J11"/>
    </sheetView>
  </sheetViews>
  <sheetFormatPr defaultRowHeight="14.25" x14ac:dyDescent="0.45"/>
  <cols>
    <col min="1" max="1" width="16.46484375" customWidth="1"/>
    <col min="2" max="2" width="16.53125" customWidth="1"/>
    <col min="3" max="3" width="16.46484375" customWidth="1"/>
    <col min="4" max="4" width="30.73046875" customWidth="1"/>
    <col min="5" max="6" width="16.3984375" customWidth="1"/>
    <col min="7" max="8" width="19.53125" customWidth="1"/>
    <col min="9" max="9" width="28.06640625" customWidth="1"/>
    <col min="10" max="10" width="19.1328125" customWidth="1"/>
  </cols>
  <sheetData>
    <row r="1" spans="1:10" ht="58.15" customHeight="1" x14ac:dyDescent="0.45">
      <c r="A1" s="70"/>
      <c r="B1" s="68" t="s">
        <v>142</v>
      </c>
      <c r="C1" s="69" t="s">
        <v>0</v>
      </c>
      <c r="D1" s="71" t="s">
        <v>279</v>
      </c>
      <c r="E1" s="71" t="s">
        <v>252</v>
      </c>
      <c r="F1" s="71" t="s">
        <v>280</v>
      </c>
      <c r="G1" s="71" t="s">
        <v>324</v>
      </c>
      <c r="H1" s="83" t="s">
        <v>281</v>
      </c>
      <c r="I1" s="71" t="s">
        <v>282</v>
      </c>
      <c r="J1" s="71" t="s">
        <v>258</v>
      </c>
    </row>
    <row r="2" spans="1:10" x14ac:dyDescent="0.45">
      <c r="A2" s="164" t="s">
        <v>227</v>
      </c>
      <c r="B2" s="72" t="s">
        <v>240</v>
      </c>
      <c r="C2" s="72" t="s">
        <v>231</v>
      </c>
      <c r="D2" s="72">
        <v>712.70600000000002</v>
      </c>
      <c r="F2" s="72">
        <f t="shared" ref="F2:F11" si="0">IF(OR(NET_NAME_LVDS="NA",D:D=" "),"NA",((PACKAGE_LENGTH_LVDS +E:E)/39.37)+3.5)</f>
        <v>21.602768605537214</v>
      </c>
      <c r="G2" s="80">
        <f>AVERAGE($F$11,$F$10)-F2</f>
        <v>9.6026289052578093</v>
      </c>
      <c r="H2" s="84"/>
      <c r="I2" s="82">
        <f t="shared" ref="I2:I11" si="1">F2-(AVERAGE(TOTAL_LVDS_LENGTH))</f>
        <v>-4.9525450850901684</v>
      </c>
      <c r="J2" s="85" t="str">
        <f>IF(NOT(OR(ISBLANK(E:E), ISBLANK(D:D), ISBLANK(C:C))),"COMPLETE", "NOT COMPLETE")</f>
        <v>NOT COMPLETE</v>
      </c>
    </row>
    <row r="3" spans="1:10" x14ac:dyDescent="0.45">
      <c r="A3" s="164"/>
      <c r="B3" s="72" t="s">
        <v>241</v>
      </c>
      <c r="C3" s="72" t="s">
        <v>236</v>
      </c>
      <c r="D3" s="72">
        <v>685.88900000000001</v>
      </c>
      <c r="E3" s="80"/>
      <c r="F3" s="72">
        <f t="shared" si="0"/>
        <v>20.921615443230888</v>
      </c>
      <c r="G3" s="80">
        <f>AVERAGE($F$11,$F$10)-F3</f>
        <v>10.283782067564136</v>
      </c>
      <c r="H3" s="94"/>
      <c r="I3" s="82">
        <f t="shared" si="1"/>
        <v>-5.6336982473964952</v>
      </c>
      <c r="J3" s="85" t="str">
        <f t="shared" ref="J3:J11" si="2">IF(OR(ISBLANK(E:E), ISBLANK(D:D), ISBLANK(C:C)),"NOT COMPLETE", "COMPLETE")</f>
        <v>NOT COMPLETE</v>
      </c>
    </row>
    <row r="4" spans="1:10" x14ac:dyDescent="0.45">
      <c r="A4" s="164" t="s">
        <v>228</v>
      </c>
      <c r="B4" s="72" t="s">
        <v>242</v>
      </c>
      <c r="C4" s="72" t="s">
        <v>233</v>
      </c>
      <c r="D4" s="72">
        <v>653.28</v>
      </c>
      <c r="E4" s="80"/>
      <c r="F4" s="72">
        <f t="shared" si="0"/>
        <v>20.093345186690375</v>
      </c>
      <c r="G4" s="80">
        <f t="shared" ref="G4:G9" si="3">AVERAGE($F$11,$F$10)-F4</f>
        <v>11.112052324104649</v>
      </c>
      <c r="H4" s="94"/>
      <c r="I4" s="82">
        <f t="shared" si="1"/>
        <v>-6.4619685039370083</v>
      </c>
      <c r="J4" s="85" t="str">
        <f t="shared" si="2"/>
        <v>NOT COMPLETE</v>
      </c>
    </row>
    <row r="5" spans="1:10" x14ac:dyDescent="0.45">
      <c r="A5" s="164"/>
      <c r="B5" s="72" t="s">
        <v>243</v>
      </c>
      <c r="C5" s="72" t="s">
        <v>237</v>
      </c>
      <c r="D5" s="72">
        <v>620.64099999999996</v>
      </c>
      <c r="E5" s="80"/>
      <c r="F5" s="72">
        <f t="shared" si="0"/>
        <v>19.264312928625856</v>
      </c>
      <c r="G5" s="80">
        <f t="shared" si="3"/>
        <v>11.941084582169168</v>
      </c>
      <c r="H5" s="94"/>
      <c r="I5" s="82">
        <f t="shared" si="1"/>
        <v>-7.2910007620015271</v>
      </c>
      <c r="J5" s="85" t="str">
        <f t="shared" si="2"/>
        <v>NOT COMPLETE</v>
      </c>
    </row>
    <row r="6" spans="1:10" x14ac:dyDescent="0.45">
      <c r="A6" s="164" t="s">
        <v>229</v>
      </c>
      <c r="B6" s="72" t="s">
        <v>244</v>
      </c>
      <c r="C6" s="72" t="s">
        <v>234</v>
      </c>
      <c r="D6" s="72">
        <v>877.97</v>
      </c>
      <c r="E6" s="80"/>
      <c r="F6" s="72">
        <f t="shared" si="0"/>
        <v>25.800482600965204</v>
      </c>
      <c r="G6" s="80">
        <f t="shared" si="3"/>
        <v>5.4049149098298201</v>
      </c>
      <c r="H6" s="94"/>
      <c r="I6" s="82">
        <f t="shared" si="1"/>
        <v>-0.75483108966217927</v>
      </c>
      <c r="J6" s="85" t="str">
        <f t="shared" si="2"/>
        <v>NOT COMPLETE</v>
      </c>
    </row>
    <row r="7" spans="1:10" x14ac:dyDescent="0.45">
      <c r="A7" s="164"/>
      <c r="B7" s="72" t="s">
        <v>245</v>
      </c>
      <c r="C7" s="72" t="s">
        <v>238</v>
      </c>
      <c r="D7" s="72">
        <v>848.173</v>
      </c>
      <c r="E7" s="80"/>
      <c r="F7" s="72">
        <f t="shared" si="0"/>
        <v>25.043637287274574</v>
      </c>
      <c r="G7" s="80">
        <f t="shared" si="3"/>
        <v>6.1617602235204494</v>
      </c>
      <c r="H7" s="94"/>
      <c r="I7" s="82">
        <f t="shared" si="1"/>
        <v>-1.5116764033528085</v>
      </c>
      <c r="J7" s="85" t="str">
        <f t="shared" si="2"/>
        <v>NOT COMPLETE</v>
      </c>
    </row>
    <row r="8" spans="1:10" x14ac:dyDescent="0.45">
      <c r="A8" s="164" t="s">
        <v>230</v>
      </c>
      <c r="B8" s="72" t="s">
        <v>246</v>
      </c>
      <c r="C8" s="72" t="s">
        <v>235</v>
      </c>
      <c r="D8" s="72">
        <v>1216.7090000000001</v>
      </c>
      <c r="E8" s="80"/>
      <c r="F8" s="72">
        <f t="shared" si="0"/>
        <v>34.404470408940824</v>
      </c>
      <c r="G8" s="80">
        <f t="shared" si="3"/>
        <v>-3.1990728981458005</v>
      </c>
      <c r="H8" s="94"/>
      <c r="I8" s="82">
        <f t="shared" si="1"/>
        <v>7.8491567183134414</v>
      </c>
      <c r="J8" s="85" t="str">
        <f t="shared" si="2"/>
        <v>NOT COMPLETE</v>
      </c>
    </row>
    <row r="9" spans="1:10" x14ac:dyDescent="0.45">
      <c r="A9" s="164"/>
      <c r="B9" s="72" t="s">
        <v>247</v>
      </c>
      <c r="C9" s="72" t="s">
        <v>239</v>
      </c>
      <c r="D9" s="72">
        <v>1279.9860000000001</v>
      </c>
      <c r="E9" s="80"/>
      <c r="F9" s="72">
        <f t="shared" si="0"/>
        <v>36.01170942341885</v>
      </c>
      <c r="G9" s="80">
        <f t="shared" si="3"/>
        <v>-4.8063119126238263</v>
      </c>
      <c r="H9" s="94"/>
      <c r="I9" s="82">
        <f t="shared" si="1"/>
        <v>9.4563957327914672</v>
      </c>
      <c r="J9" s="85" t="str">
        <f t="shared" si="2"/>
        <v>NOT COMPLETE</v>
      </c>
    </row>
    <row r="10" spans="1:10" x14ac:dyDescent="0.45">
      <c r="A10" s="164" t="s">
        <v>232</v>
      </c>
      <c r="B10" s="72" t="s">
        <v>250</v>
      </c>
      <c r="C10" s="72" t="s">
        <v>248</v>
      </c>
      <c r="D10" s="72">
        <v>1061.8219999999999</v>
      </c>
      <c r="E10" s="80"/>
      <c r="F10" s="72">
        <f t="shared" si="0"/>
        <v>30.47033274066548</v>
      </c>
      <c r="G10" s="90"/>
      <c r="H10" s="162">
        <f>ABS(F10-F11)</f>
        <v>1.4701295402590837</v>
      </c>
      <c r="I10" s="82">
        <f t="shared" si="1"/>
        <v>3.9150190500380972</v>
      </c>
      <c r="J10" s="85" t="str">
        <f t="shared" si="2"/>
        <v>NOT COMPLETE</v>
      </c>
    </row>
    <row r="11" spans="1:10" x14ac:dyDescent="0.45">
      <c r="A11" s="164"/>
      <c r="B11" s="72" t="s">
        <v>249</v>
      </c>
      <c r="C11" s="72" t="s">
        <v>251</v>
      </c>
      <c r="D11" s="72">
        <v>1119.701</v>
      </c>
      <c r="E11" s="80"/>
      <c r="F11" s="72">
        <f t="shared" si="0"/>
        <v>31.940462280924564</v>
      </c>
      <c r="G11" s="90"/>
      <c r="H11" s="163"/>
      <c r="I11" s="82">
        <f t="shared" si="1"/>
        <v>5.385148590297181</v>
      </c>
      <c r="J11" s="85" t="str">
        <f t="shared" si="2"/>
        <v>NOT COMPLETE</v>
      </c>
    </row>
    <row r="12" spans="1:10" ht="45.4" customHeight="1" x14ac:dyDescent="0.45">
      <c r="D12" s="99" t="s">
        <v>331</v>
      </c>
    </row>
    <row r="14" spans="1:10" ht="21" x14ac:dyDescent="0.65">
      <c r="A14" s="165" t="s">
        <v>261</v>
      </c>
      <c r="B14" s="165"/>
      <c r="C14" s="165"/>
      <c r="D14" s="165"/>
    </row>
    <row r="15" spans="1:10" x14ac:dyDescent="0.45">
      <c r="A15" s="73" t="s">
        <v>273</v>
      </c>
    </row>
    <row r="16" spans="1:10" x14ac:dyDescent="0.45">
      <c r="A16" t="s">
        <v>265</v>
      </c>
    </row>
    <row r="17" spans="1:3" x14ac:dyDescent="0.45">
      <c r="A17" t="s">
        <v>262</v>
      </c>
    </row>
    <row r="18" spans="1:3" x14ac:dyDescent="0.45">
      <c r="A18" t="s">
        <v>263</v>
      </c>
    </row>
    <row r="19" spans="1:3" x14ac:dyDescent="0.45">
      <c r="A19" t="s">
        <v>264</v>
      </c>
    </row>
    <row r="20" spans="1:3" x14ac:dyDescent="0.45">
      <c r="B20" t="s">
        <v>266</v>
      </c>
      <c r="C20" t="s">
        <v>268</v>
      </c>
    </row>
    <row r="21" spans="1:3" x14ac:dyDescent="0.45">
      <c r="A21" t="s">
        <v>267</v>
      </c>
      <c r="B21">
        <v>1100</v>
      </c>
      <c r="C21">
        <f>(1/B21)*1000000</f>
        <v>909.09090909090912</v>
      </c>
    </row>
    <row r="22" spans="1:3" x14ac:dyDescent="0.45">
      <c r="A22" t="s">
        <v>270</v>
      </c>
      <c r="B22">
        <v>11</v>
      </c>
    </row>
    <row r="23" spans="1:3" x14ac:dyDescent="0.45">
      <c r="A23" t="s">
        <v>271</v>
      </c>
      <c r="B23">
        <v>320</v>
      </c>
    </row>
    <row r="24" spans="1:3" x14ac:dyDescent="0.45">
      <c r="A24" t="s">
        <v>272</v>
      </c>
      <c r="B24">
        <v>320</v>
      </c>
    </row>
    <row r="25" spans="1:3" x14ac:dyDescent="0.45">
      <c r="A25" t="s">
        <v>274</v>
      </c>
      <c r="B25">
        <v>170</v>
      </c>
    </row>
    <row r="26" spans="1:3" x14ac:dyDescent="0.45">
      <c r="A26" t="s">
        <v>269</v>
      </c>
      <c r="B26">
        <v>5</v>
      </c>
    </row>
    <row r="27" spans="1:3" x14ac:dyDescent="0.45">
      <c r="B27" s="74" t="s">
        <v>277</v>
      </c>
      <c r="C27" s="67">
        <f>(C21-B22-B23-B24-B25)*0.01*B26</f>
        <v>4.4045454545454561</v>
      </c>
    </row>
    <row r="28" spans="1:3" x14ac:dyDescent="0.45">
      <c r="B28" s="74" t="s">
        <v>275</v>
      </c>
      <c r="C28" s="79">
        <f>(C27*299792458*10^3)/(10^12)</f>
        <v>1.3204495081909096</v>
      </c>
    </row>
    <row r="29" spans="1:3" x14ac:dyDescent="0.45">
      <c r="B29" s="74" t="s">
        <v>276</v>
      </c>
      <c r="C29" s="67">
        <f>C28*39.37</f>
        <v>51.986097137476108</v>
      </c>
    </row>
    <row r="31" spans="1:3" x14ac:dyDescent="0.45">
      <c r="A31" s="73" t="s">
        <v>278</v>
      </c>
    </row>
  </sheetData>
  <mergeCells count="7">
    <mergeCell ref="H10:H11"/>
    <mergeCell ref="A10:A11"/>
    <mergeCell ref="A14:D14"/>
    <mergeCell ref="A2:A3"/>
    <mergeCell ref="A4:A5"/>
    <mergeCell ref="A6:A7"/>
    <mergeCell ref="A8:A9"/>
  </mergeCells>
  <phoneticPr fontId="16" type="noConversion"/>
  <conditionalFormatting sqref="F2:F11">
    <cfRule type="colorScale" priority="6">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5AB53-38DC-4F71-92C8-6258655047E1}">
  <dimension ref="A1:P61"/>
  <sheetViews>
    <sheetView tabSelected="1" topLeftCell="A22" zoomScale="78" zoomScaleNormal="122" workbookViewId="0">
      <selection activeCell="D38" sqref="D38"/>
    </sheetView>
  </sheetViews>
  <sheetFormatPr defaultRowHeight="14.25" x14ac:dyDescent="0.45"/>
  <cols>
    <col min="1" max="1" width="19.1328125" customWidth="1"/>
    <col min="2" max="2" width="16.19921875" customWidth="1"/>
    <col min="3" max="3" width="30.19921875" customWidth="1"/>
    <col min="4" max="4" width="32.73046875" customWidth="1"/>
    <col min="5" max="7" width="16.19921875" customWidth="1"/>
    <col min="8" max="8" width="33.3984375" customWidth="1"/>
    <col min="9" max="9" width="29.73046875" customWidth="1"/>
    <col min="10" max="10" width="31.59765625" customWidth="1"/>
  </cols>
  <sheetData>
    <row r="1" spans="1:16" ht="14.65" x14ac:dyDescent="0.45">
      <c r="A1" s="70"/>
      <c r="B1" s="71" t="s">
        <v>142</v>
      </c>
      <c r="C1" s="98" t="s">
        <v>0</v>
      </c>
      <c r="D1" s="98" t="s">
        <v>383</v>
      </c>
      <c r="E1" s="98" t="s">
        <v>385</v>
      </c>
      <c r="F1" s="98" t="s">
        <v>384</v>
      </c>
      <c r="G1" s="98" t="s">
        <v>280</v>
      </c>
      <c r="H1" s="112" t="s">
        <v>386</v>
      </c>
      <c r="I1" s="113" t="s">
        <v>387</v>
      </c>
      <c r="J1" s="113" t="s">
        <v>388</v>
      </c>
      <c r="K1" s="101"/>
      <c r="L1" s="101"/>
      <c r="M1" s="101"/>
      <c r="N1" s="101"/>
      <c r="O1" s="101"/>
      <c r="P1" s="101"/>
    </row>
    <row r="2" spans="1:16" x14ac:dyDescent="0.45">
      <c r="A2" s="70"/>
      <c r="B2" s="180" t="s">
        <v>363</v>
      </c>
      <c r="C2" s="72" t="s">
        <v>428</v>
      </c>
      <c r="D2" s="96">
        <v>2144.3029999999999</v>
      </c>
      <c r="E2" s="173" t="b">
        <v>1</v>
      </c>
      <c r="F2" s="172">
        <f>2*VIA_L1_L12</f>
        <v>149.86799999999999</v>
      </c>
      <c r="G2" s="167">
        <f>IF(OR(SDMMC_BALLNAME = " ",SDMMC_NET_NAME = " "), "NA", (SDMMC_TRACE_LENGTH+$D3)/39.37 +IF($E:E = FALSE, 0, F:F)/39.37)</f>
        <v>61.980924561849129</v>
      </c>
      <c r="H2" s="167" t="str">
        <f>_xlfn.CONCAT(($G$16-G2)*-39.37," mils")</f>
        <v>4.40900000000025 mils</v>
      </c>
      <c r="I2" s="166">
        <f>(((ABS($G$16-G2))*39.37)/$B$60)*100</f>
        <v>1.6798323596648144</v>
      </c>
      <c r="J2" s="166">
        <f>((G2*39.37)/$B$61)*100</f>
        <v>98.136463889594438</v>
      </c>
      <c r="K2" s="70"/>
      <c r="L2" s="70"/>
      <c r="M2" s="70"/>
      <c r="N2" s="70"/>
      <c r="O2" s="70"/>
      <c r="P2" s="70"/>
    </row>
    <row r="3" spans="1:16" ht="13.5" customHeight="1" x14ac:dyDescent="0.45">
      <c r="A3" s="177" t="s">
        <v>426</v>
      </c>
      <c r="B3" s="181"/>
      <c r="C3" s="72" t="s">
        <v>434</v>
      </c>
      <c r="D3" s="72">
        <v>146.018</v>
      </c>
      <c r="E3" s="174"/>
      <c r="F3" s="172"/>
      <c r="G3" s="167"/>
      <c r="H3" s="167"/>
      <c r="I3" s="166"/>
      <c r="J3" s="166"/>
    </row>
    <row r="4" spans="1:16" ht="13.5" customHeight="1" x14ac:dyDescent="0.45">
      <c r="A4" s="178"/>
      <c r="B4" s="175" t="s">
        <v>364</v>
      </c>
      <c r="C4" s="72" t="s">
        <v>429</v>
      </c>
      <c r="D4" s="72">
        <v>2137.1190000000001</v>
      </c>
      <c r="E4" s="173" t="b">
        <v>1</v>
      </c>
      <c r="F4" s="172">
        <f>2*VIA_L1_L12</f>
        <v>149.86799999999999</v>
      </c>
      <c r="G4" s="167">
        <f>IF(OR(SDMMC_BALLNAME = " ",SDMMC_NET_NAME = " "), "NA", (SDMMC_TRACE_LENGTH+$D5)/39.37 +IF($E:E = FALSE, 0, F:F)/39.37)</f>
        <v>61.778130556261118</v>
      </c>
      <c r="H4" s="167" t="str">
        <f t="shared" ref="H4" si="0">_xlfn.CONCAT(($G$16-G4)*-39.37," mils")</f>
        <v>-3.57499999999974 mils</v>
      </c>
      <c r="I4" s="166">
        <f>(((ABS($G$16-G4))*39.37)/$B$60)*100</f>
        <v>1.3620777241553483</v>
      </c>
      <c r="J4" s="166">
        <f>((G4*39.37)/$B$61)*100</f>
        <v>97.815373380746749</v>
      </c>
    </row>
    <row r="5" spans="1:16" x14ac:dyDescent="0.45">
      <c r="A5" s="178"/>
      <c r="B5" s="176"/>
      <c r="C5" s="72" t="s">
        <v>435</v>
      </c>
      <c r="D5">
        <v>145.21799999999999</v>
      </c>
      <c r="E5" s="174"/>
      <c r="F5" s="172"/>
      <c r="G5" s="167"/>
      <c r="H5" s="167"/>
      <c r="I5" s="166"/>
      <c r="J5" s="166"/>
    </row>
    <row r="6" spans="1:16" x14ac:dyDescent="0.45">
      <c r="A6" s="178"/>
      <c r="B6" s="175" t="s">
        <v>365</v>
      </c>
      <c r="C6" s="72" t="s">
        <v>430</v>
      </c>
      <c r="D6" s="72">
        <v>2140</v>
      </c>
      <c r="E6" s="173" t="b">
        <v>1</v>
      </c>
      <c r="F6" s="172">
        <f>2*VIA_L1_L12</f>
        <v>149.86799999999999</v>
      </c>
      <c r="G6" s="167">
        <f>IF(OR(SDMMC_BALLNAME = " ",SDMMC_NET_NAME = " "), "NA", (SDMMC_TRACE_LENGTH+$D7)/39.37 +IF($E:E = FALSE, 0, F:F)/39.37)</f>
        <v>61.876327152654312</v>
      </c>
      <c r="H6" s="167" t="str">
        <f t="shared" ref="H6" si="1">_xlfn.CONCAT(($G$16-G6)*-39.37," mils")</f>
        <v>0.291000000000315 mils</v>
      </c>
      <c r="I6" s="166">
        <f>(((ABS($G$16-G6))*39.37)/$B$60)*100</f>
        <v>0.11087122174256336</v>
      </c>
      <c r="J6" s="166">
        <f>((G6*39.37)/$B$61)*100</f>
        <v>97.97085132503598</v>
      </c>
    </row>
    <row r="7" spans="1:16" x14ac:dyDescent="0.45">
      <c r="A7" s="178"/>
      <c r="B7" s="176"/>
      <c r="C7" s="72" t="s">
        <v>436</v>
      </c>
      <c r="D7">
        <v>146.203</v>
      </c>
      <c r="E7" s="174"/>
      <c r="F7" s="172"/>
      <c r="G7" s="167"/>
      <c r="H7" s="167"/>
      <c r="I7" s="166"/>
      <c r="J7" s="166"/>
    </row>
    <row r="8" spans="1:16" x14ac:dyDescent="0.45">
      <c r="A8" s="178"/>
      <c r="B8" s="175" t="s">
        <v>366</v>
      </c>
      <c r="C8" s="72" t="s">
        <v>431</v>
      </c>
      <c r="D8" s="72">
        <v>2140</v>
      </c>
      <c r="E8" s="173" t="b">
        <v>1</v>
      </c>
      <c r="F8" s="172">
        <f>2*VIA_L1_L12</f>
        <v>149.86799999999999</v>
      </c>
      <c r="G8" s="167">
        <f>IF(OR(SDMMC_BALLNAME = " ",SDMMC_NET_NAME = " "), "NA", (SDMMC_TRACE_LENGTH+$D9)/39.37 +IF($E:E = FALSE, 0, F:F)/39.37)</f>
        <v>61.834112268224544</v>
      </c>
      <c r="H8" s="167" t="str">
        <f t="shared" ref="H8" si="2">_xlfn.CONCAT(($G$16-G8)*-39.37," mils")</f>
        <v>-1.37099999999965 mils</v>
      </c>
      <c r="I8" s="166">
        <f>(((ABS($G$16-G8))*39.37)/$B$60)*100</f>
        <v>0.52235204470395757</v>
      </c>
      <c r="J8" s="166">
        <f>((G8*39.37)/$B$61)*100</f>
        <v>97.904011091355514</v>
      </c>
    </row>
    <row r="9" spans="1:16" x14ac:dyDescent="0.45">
      <c r="A9" s="178"/>
      <c r="B9" s="176"/>
      <c r="C9" s="72" t="s">
        <v>437</v>
      </c>
      <c r="D9" s="72">
        <v>144.541</v>
      </c>
      <c r="E9" s="174"/>
      <c r="F9" s="172"/>
      <c r="G9" s="167"/>
      <c r="H9" s="167"/>
      <c r="I9" s="166"/>
      <c r="J9" s="166"/>
    </row>
    <row r="10" spans="1:16" x14ac:dyDescent="0.45">
      <c r="A10" s="178"/>
      <c r="B10" s="175" t="s">
        <v>367</v>
      </c>
      <c r="C10" s="72" t="s">
        <v>432</v>
      </c>
      <c r="D10" s="72">
        <v>2147.6759999999999</v>
      </c>
      <c r="E10" s="173" t="b">
        <v>1</v>
      </c>
      <c r="F10" s="172">
        <f>2*VIA_L1_L12</f>
        <v>149.86799999999999</v>
      </c>
      <c r="G10" s="167">
        <f>IF(OR(SDMMC_BALLNAME = " ",SDMMC_NET_NAME = " "), "NA", (SDMMC_TRACE_LENGTH+$D11)/39.37 +IF($E:E = FALSE, 0, F:F)/39.37)</f>
        <v>62.04231648463297</v>
      </c>
      <c r="H10" s="167" t="str">
        <f t="shared" ref="H10" si="3">_xlfn.CONCAT(($G$16-G10)*-39.37," mils")</f>
        <v>6.82600000000006 mils</v>
      </c>
      <c r="I10" s="166">
        <f>(((ABS($G$16-G10))*39.37)/$B$60)*100</f>
        <v>2.6007112014224276</v>
      </c>
      <c r="J10" s="166">
        <f>((G10*39.37)/$B$61)*100</f>
        <v>98.233667767335518</v>
      </c>
    </row>
    <row r="11" spans="1:16" x14ac:dyDescent="0.45">
      <c r="A11" s="178"/>
      <c r="B11" s="176"/>
      <c r="C11" s="72" t="s">
        <v>438</v>
      </c>
      <c r="D11" s="72">
        <v>145.06200000000001</v>
      </c>
      <c r="E11" s="174"/>
      <c r="F11" s="172"/>
      <c r="G11" s="167"/>
      <c r="H11" s="167"/>
      <c r="I11" s="166"/>
      <c r="J11" s="166"/>
    </row>
    <row r="12" spans="1:16" x14ac:dyDescent="0.45">
      <c r="A12" s="178"/>
      <c r="B12" s="120"/>
      <c r="C12" s="87"/>
      <c r="D12" s="87"/>
      <c r="E12" s="118"/>
      <c r="F12" s="87"/>
      <c r="G12" s="87"/>
      <c r="H12" s="87"/>
      <c r="I12" s="87"/>
      <c r="J12" s="87"/>
    </row>
    <row r="13" spans="1:16" x14ac:dyDescent="0.45">
      <c r="A13" s="178"/>
      <c r="B13" s="120"/>
      <c r="C13" s="87"/>
      <c r="D13" s="87"/>
      <c r="E13" s="118"/>
      <c r="F13" s="87"/>
      <c r="G13" s="87"/>
      <c r="H13" s="87"/>
      <c r="I13" s="87"/>
      <c r="J13" s="87"/>
    </row>
    <row r="14" spans="1:16" x14ac:dyDescent="0.45">
      <c r="A14" s="178"/>
      <c r="B14" s="120"/>
      <c r="C14" s="87"/>
      <c r="D14" s="87"/>
      <c r="E14" s="118"/>
      <c r="F14" s="87"/>
      <c r="G14" s="87"/>
      <c r="H14" s="87"/>
      <c r="I14" s="87"/>
      <c r="J14" s="87"/>
    </row>
    <row r="15" spans="1:16" x14ac:dyDescent="0.45">
      <c r="A15" s="178"/>
      <c r="B15" s="121"/>
      <c r="C15" s="116"/>
      <c r="D15" s="116"/>
      <c r="E15" s="122"/>
      <c r="F15" s="116"/>
      <c r="G15" s="116"/>
      <c r="H15" s="116"/>
      <c r="I15" s="116"/>
      <c r="J15" s="116"/>
    </row>
    <row r="16" spans="1:16" x14ac:dyDescent="0.45">
      <c r="A16" s="178"/>
      <c r="B16" s="185" t="s">
        <v>372</v>
      </c>
      <c r="C16" s="96" t="s">
        <v>433</v>
      </c>
      <c r="D16" s="96">
        <v>2155</v>
      </c>
      <c r="E16" s="173" t="b">
        <v>1</v>
      </c>
      <c r="F16" s="170">
        <f>2*VIA_L1_L12</f>
        <v>149.86799999999999</v>
      </c>
      <c r="G16" s="168">
        <f>IF(OR(SDMMC_BALLNAME = " ",SDMMC_NET_NAME = " "), "NA", (SDMMC_TRACE_LENGTH+$D17)/39.37 +IF($E:E = FALSE, 0, F:F)/39.37)</f>
        <v>61.868935737871475</v>
      </c>
      <c r="H16" s="168">
        <f>ABS($G$16-G16)*39.37</f>
        <v>0</v>
      </c>
      <c r="I16" s="168">
        <f>(((ABS($G$16-G16))*39.37)/$B$60)*100</f>
        <v>0</v>
      </c>
      <c r="J16" s="168">
        <f>((G16*39.37)/$B$61)*100</f>
        <v>97.959148251629827</v>
      </c>
    </row>
    <row r="17" spans="1:10" ht="14.65" thickBot="1" x14ac:dyDescent="0.5">
      <c r="A17" s="179"/>
      <c r="B17" s="186"/>
      <c r="C17" s="105" t="s">
        <v>439</v>
      </c>
      <c r="D17" s="119">
        <v>130.91200000000001</v>
      </c>
      <c r="E17" s="187"/>
      <c r="F17" s="171"/>
      <c r="G17" s="169"/>
      <c r="H17" s="169"/>
      <c r="I17" s="169"/>
      <c r="J17" s="169"/>
    </row>
    <row r="18" spans="1:10" x14ac:dyDescent="0.45">
      <c r="A18" s="196" t="s">
        <v>425</v>
      </c>
      <c r="B18" s="198" t="s">
        <v>363</v>
      </c>
      <c r="C18" s="106" t="s">
        <v>373</v>
      </c>
      <c r="D18" s="106">
        <v>1420.52</v>
      </c>
      <c r="E18" s="194" t="b">
        <v>1</v>
      </c>
      <c r="F18" s="190">
        <f>2*VIA_L1_L12</f>
        <v>149.86799999999999</v>
      </c>
      <c r="G18" s="188">
        <f>IF(OR(SDMMC_BALLNAME=" ",SDMMC_NET_NAME=" "),"NA",(SDMMC_TRACE_LENGTH+$D19)/39.37+IF($E:E=FALSE,0,($F18+$F19)/39.37))</f>
        <v>47.013817627635262</v>
      </c>
      <c r="H18" s="168" t="str">
        <f>_xlfn.CONCAT(($G$40-G18)*39.37," mils")</f>
        <v>2.07399999999967 mils</v>
      </c>
      <c r="I18" s="162" t="str">
        <f t="shared" ref="I18" si="4">_xlfn.CONCAT((($G$40-$G18)*100*39.37)/$B$60," %")</f>
        <v>0.790195580391035 %</v>
      </c>
      <c r="J18" s="188" t="str">
        <f>_xlfn.CONCAT(((G18*39.37)/$B$61)*100,"%")</f>
        <v>74.4385445770892%</v>
      </c>
    </row>
    <row r="19" spans="1:10" ht="14.65" thickBot="1" x14ac:dyDescent="0.5">
      <c r="A19" s="196"/>
      <c r="B19" s="199"/>
      <c r="C19" s="106" t="s">
        <v>410</v>
      </c>
      <c r="D19" s="106">
        <v>280.54599999999999</v>
      </c>
      <c r="E19" s="174"/>
      <c r="F19" s="191"/>
      <c r="G19" s="183"/>
      <c r="H19" s="169"/>
      <c r="I19" s="163"/>
      <c r="J19" s="183"/>
    </row>
    <row r="20" spans="1:10" x14ac:dyDescent="0.45">
      <c r="A20" s="196"/>
      <c r="B20" s="200" t="s">
        <v>364</v>
      </c>
      <c r="C20" s="72" t="s">
        <v>374</v>
      </c>
      <c r="D20" s="72">
        <v>1481</v>
      </c>
      <c r="E20" s="189" t="b">
        <v>1</v>
      </c>
      <c r="F20" s="192">
        <f>2*VIA_L1_L12</f>
        <v>149.86799999999999</v>
      </c>
      <c r="G20" s="195">
        <f>IF(OR(SDMMC_BALLNAME = " ",SDMMC_NET_NAME = " "), "NA", (SDMMC_TRACE_LENGTH +$D21)/39.37 +IF($E:E = FALSE, 0, F:F)/39.37)</f>
        <v>46.997409194818395</v>
      </c>
      <c r="H20" s="168" t="str">
        <f t="shared" ref="H20" si="5">_xlfn.CONCAT(($G$40-G20)*39.37," mils")</f>
        <v>2.71999999999972 mils</v>
      </c>
      <c r="I20" s="168" t="str">
        <f t="shared" ref="I20" si="6">_xlfn.CONCAT((($G$40-$G20)*100*39.37)/$B$60," %")</f>
        <v>1.03632207264404 %</v>
      </c>
      <c r="J20" s="182" t="str">
        <f t="shared" ref="J20" si="7">_xlfn.CONCAT(((G20*39.37)/$B$61)*100,"%")</f>
        <v>74.4125645584624%</v>
      </c>
    </row>
    <row r="21" spans="1:10" ht="14.65" thickBot="1" x14ac:dyDescent="0.5">
      <c r="A21" s="196"/>
      <c r="B21" s="199"/>
      <c r="C21" s="72" t="s">
        <v>411</v>
      </c>
      <c r="D21" s="72">
        <v>219.42</v>
      </c>
      <c r="E21" s="174"/>
      <c r="F21" s="191"/>
      <c r="G21" s="183"/>
      <c r="H21" s="169"/>
      <c r="I21" s="163"/>
      <c r="J21" s="183"/>
    </row>
    <row r="22" spans="1:10" x14ac:dyDescent="0.45">
      <c r="A22" s="196"/>
      <c r="B22" s="200" t="s">
        <v>365</v>
      </c>
      <c r="C22" s="72" t="s">
        <v>375</v>
      </c>
      <c r="D22" s="72">
        <v>1491</v>
      </c>
      <c r="E22" s="189" t="b">
        <v>1</v>
      </c>
      <c r="F22" s="192">
        <f>2*VIA_L1_L12</f>
        <v>149.86799999999999</v>
      </c>
      <c r="G22" s="195">
        <f>IF(OR(SDMMC_BALLNAME = " ",SDMMC_NET_NAME = " "), "NA", (SDMMC_TRACE_LENGTH +$D23)/39.37 +IF($E:E = FALSE, 0, F:F)/39.37)</f>
        <v>47.085115570231146</v>
      </c>
      <c r="H22" s="168" t="str">
        <f t="shared" ref="H22" si="8">_xlfn.CONCAT(($G$40-G22)*39.37," mils")</f>
        <v>-0.733000000000263 mils</v>
      </c>
      <c r="I22" s="168" t="str">
        <f t="shared" ref="I22" si="9">_xlfn.CONCAT((($G$40-$G22)*100*39.37)/$B$60," %")</f>
        <v>-0.279273558547217 %</v>
      </c>
      <c r="J22" s="182" t="str">
        <f t="shared" ref="J22" si="10">_xlfn.CONCAT(((G22*39.37)/$B$61)*100,"%")</f>
        <v>74.5514329861993%</v>
      </c>
    </row>
    <row r="23" spans="1:10" ht="14.65" thickBot="1" x14ac:dyDescent="0.5">
      <c r="A23" s="196"/>
      <c r="B23" s="199"/>
      <c r="C23" s="72" t="s">
        <v>412</v>
      </c>
      <c r="D23" s="72">
        <v>212.87299999999999</v>
      </c>
      <c r="E23" s="174"/>
      <c r="F23" s="191"/>
      <c r="G23" s="183"/>
      <c r="H23" s="169"/>
      <c r="I23" s="163"/>
      <c r="J23" s="183"/>
    </row>
    <row r="24" spans="1:10" x14ac:dyDescent="0.45">
      <c r="A24" s="196"/>
      <c r="B24" s="200" t="s">
        <v>366</v>
      </c>
      <c r="C24" s="72" t="s">
        <v>376</v>
      </c>
      <c r="D24" s="72">
        <v>1500</v>
      </c>
      <c r="E24" s="189" t="b">
        <v>1</v>
      </c>
      <c r="F24" s="192">
        <f>2*VIA_L1_L12</f>
        <v>149.86799999999999</v>
      </c>
      <c r="G24" s="195">
        <f>IF(OR(SDMMC_BALLNAME = " ",SDMMC_NET_NAME = " "), "NA", (SDMMC_TRACE_LENGTH +$D25)/39.37 +IF($E:E = FALSE, 0, F:F)/39.37)</f>
        <v>47.074168148336298</v>
      </c>
      <c r="H24" s="168" t="str">
        <f t="shared" ref="H24" si="11">_xlfn.CONCAT(($G$40-G24)*39.37," mils")</f>
        <v>-0.302000000000106 mils</v>
      </c>
      <c r="I24" s="168" t="str">
        <f t="shared" ref="I24" si="12">_xlfn.CONCAT((($G$40-$G24)*100*39.37)/$B$60," %")</f>
        <v>-0.115062230124501 %</v>
      </c>
      <c r="J24" s="182" t="str">
        <f t="shared" ref="J24" si="13">_xlfn.CONCAT(((G24*39.37)/$B$61)*100,"%")</f>
        <v>74.5340995681991%</v>
      </c>
    </row>
    <row r="25" spans="1:10" ht="14.65" thickBot="1" x14ac:dyDescent="0.5">
      <c r="A25" s="196"/>
      <c r="B25" s="199"/>
      <c r="C25" s="72" t="s">
        <v>413</v>
      </c>
      <c r="D25" s="72">
        <v>203.44200000000001</v>
      </c>
      <c r="E25" s="174"/>
      <c r="F25" s="191"/>
      <c r="G25" s="183"/>
      <c r="H25" s="169"/>
      <c r="I25" s="163"/>
      <c r="J25" s="183"/>
    </row>
    <row r="26" spans="1:10" x14ac:dyDescent="0.45">
      <c r="A26" s="196"/>
      <c r="B26" s="200" t="s">
        <v>367</v>
      </c>
      <c r="C26" s="72" t="s">
        <v>377</v>
      </c>
      <c r="D26" s="72">
        <v>1444</v>
      </c>
      <c r="E26" s="189" t="b">
        <v>1</v>
      </c>
      <c r="F26" s="192">
        <f>2*VIA_L1_L12</f>
        <v>149.86799999999999</v>
      </c>
      <c r="G26" s="195">
        <f>IF(OR(SDMMC_BALLNAME = " ",SDMMC_NET_NAME = " "), "NA", (SDMMC_TRACE_LENGTH +$D27)/39.37 +IF($E:E = FALSE, 0, F:F)/39.37)</f>
        <v>47.059791719583444</v>
      </c>
      <c r="H26" s="168" t="str">
        <f t="shared" ref="H26" si="14">_xlfn.CONCAT(($G$40-G26)*39.37," mils")</f>
        <v>0.263999999999758 mils</v>
      </c>
      <c r="I26" s="168" t="str">
        <f t="shared" ref="I26" si="15">_xlfn.CONCAT((($G$40-$G26)*100*39.37)/$B$60," %")</f>
        <v>0.10058420116831 %</v>
      </c>
      <c r="J26" s="182" t="str">
        <f t="shared" ref="J26" si="16">_xlfn.CONCAT(((G26*39.37)/$B$61)*100,"%")</f>
        <v>74.5113368893405%</v>
      </c>
    </row>
    <row r="27" spans="1:10" ht="14.65" thickBot="1" x14ac:dyDescent="0.5">
      <c r="A27" s="196"/>
      <c r="B27" s="199"/>
      <c r="C27" s="72" t="s">
        <v>414</v>
      </c>
      <c r="D27" s="72">
        <v>258.87599999999998</v>
      </c>
      <c r="E27" s="174"/>
      <c r="F27" s="191"/>
      <c r="G27" s="183"/>
      <c r="H27" s="169"/>
      <c r="I27" s="163"/>
      <c r="J27" s="183"/>
    </row>
    <row r="28" spans="1:10" x14ac:dyDescent="0.45">
      <c r="A28" s="196"/>
      <c r="B28" s="200" t="s">
        <v>368</v>
      </c>
      <c r="C28" s="72" t="s">
        <v>378</v>
      </c>
      <c r="D28" s="72">
        <v>1457.684</v>
      </c>
      <c r="E28" s="189" t="b">
        <v>1</v>
      </c>
      <c r="F28" s="192">
        <f>2*VIA_L1_L12</f>
        <v>149.86799999999999</v>
      </c>
      <c r="G28" s="195">
        <f>IF(OR(SDMMC_BALLNAME = " ",SDMMC_NET_NAME = " "), "NA", (SDMMC_TRACE_LENGTH +$D29)/39.37 +IF($E:E = FALSE, 0, F:F)/39.37)</f>
        <v>47.101066802133609</v>
      </c>
      <c r="H28" s="168" t="str">
        <f t="shared" ref="H28" si="17">_xlfn.CONCAT(($G$40-G28)*39.37," mils")</f>
        <v>-1.36100000000022 mils</v>
      </c>
      <c r="I28" s="168" t="str">
        <f t="shared" ref="I28" si="18">_xlfn.CONCAT((($G$40-$G28)*100*39.37)/$B$60," %")</f>
        <v>-0.51854203708416 %</v>
      </c>
      <c r="J28" s="182" t="str">
        <f t="shared" ref="J28" si="19">_xlfn.CONCAT(((G28*39.37)/$B$61)*100,"%")</f>
        <v>74.5766891033782%</v>
      </c>
    </row>
    <row r="29" spans="1:10" ht="14.65" thickBot="1" x14ac:dyDescent="0.5">
      <c r="A29" s="196"/>
      <c r="B29" s="199"/>
      <c r="C29" s="72" t="s">
        <v>415</v>
      </c>
      <c r="D29" s="72">
        <v>246.81700000000001</v>
      </c>
      <c r="E29" s="174"/>
      <c r="F29" s="191"/>
      <c r="G29" s="183"/>
      <c r="H29" s="169"/>
      <c r="I29" s="163"/>
      <c r="J29" s="183"/>
    </row>
    <row r="30" spans="1:10" x14ac:dyDescent="0.45">
      <c r="A30" s="196"/>
      <c r="B30" s="200" t="s">
        <v>369</v>
      </c>
      <c r="C30" s="72" t="s">
        <v>379</v>
      </c>
      <c r="D30" s="72">
        <v>1447.723</v>
      </c>
      <c r="E30" s="189" t="b">
        <v>1</v>
      </c>
      <c r="F30" s="192">
        <f>2*VIA_L1_L12</f>
        <v>149.86799999999999</v>
      </c>
      <c r="G30" s="195">
        <f>IF(OR(SDMMC_BALLNAME = " ",SDMMC_NET_NAME = " "), "NA", (SDMMC_TRACE_LENGTH +$D31)/39.37 +IF($E:E = FALSE, 0, F:F)/39.37)</f>
        <v>46.991694183388368</v>
      </c>
      <c r="H30" s="168" t="str">
        <f t="shared" ref="H30" si="20">_xlfn.CONCAT(($G$40-G30)*39.37," mils")</f>
        <v>2.94499999999989 mils</v>
      </c>
      <c r="I30" s="168" t="str">
        <f t="shared" ref="I30" si="21">_xlfn.CONCAT((($G$40-$G30)*100*39.37)/$B$60," %")</f>
        <v>1.12204724409445 %</v>
      </c>
      <c r="J30" s="182" t="str">
        <f t="shared" ref="J30" si="22">_xlfn.CONCAT(((G30*39.37)/$B$61)*100,"%")</f>
        <v>74.4035157903649%</v>
      </c>
    </row>
    <row r="31" spans="1:10" ht="14.65" thickBot="1" x14ac:dyDescent="0.5">
      <c r="A31" s="196"/>
      <c r="B31" s="199"/>
      <c r="C31" s="72" t="s">
        <v>416</v>
      </c>
      <c r="D31" s="72">
        <v>252.47200000000001</v>
      </c>
      <c r="E31" s="174"/>
      <c r="F31" s="191"/>
      <c r="G31" s="183"/>
      <c r="H31" s="169"/>
      <c r="I31" s="163"/>
      <c r="J31" s="183"/>
    </row>
    <row r="32" spans="1:10" x14ac:dyDescent="0.45">
      <c r="A32" s="196"/>
      <c r="B32" s="200" t="s">
        <v>370</v>
      </c>
      <c r="C32" s="72" t="s">
        <v>380</v>
      </c>
      <c r="D32" s="72">
        <v>1470</v>
      </c>
      <c r="E32" s="189" t="b">
        <v>1</v>
      </c>
      <c r="F32" s="192">
        <f>2*VIA_L1_L12</f>
        <v>149.86799999999999</v>
      </c>
      <c r="G32" s="195">
        <f>IF(OR(SDMMC_BALLNAME = " ",SDMMC_NET_NAME = " "), "NA", (SDMMC_TRACE_LENGTH +$D33)/39.37 +IF($E:E = FALSE, 0, F:F)/39.37)</f>
        <v>47.085953771907548</v>
      </c>
      <c r="H32" s="168" t="str">
        <f t="shared" ref="H32" si="23">_xlfn.CONCAT(($G$40-G32)*39.37," mils")</f>
        <v>-0.766000000000198 mils</v>
      </c>
      <c r="I32" s="168" t="str">
        <f t="shared" ref="I32" si="24">_xlfn.CONCAT((($G$40-$G32)*100*39.37)/$B$60," %")</f>
        <v>-0.291846583693243 %</v>
      </c>
      <c r="J32" s="182" t="str">
        <f t="shared" ref="J32" si="25">_xlfn.CONCAT(((G32*39.37)/$B$61)*100,"%")</f>
        <v>74.5527601388536%</v>
      </c>
    </row>
    <row r="33" spans="1:11" ht="14.65" thickBot="1" x14ac:dyDescent="0.5">
      <c r="A33" s="196"/>
      <c r="B33" s="199"/>
      <c r="C33" s="72" t="s">
        <v>417</v>
      </c>
      <c r="D33" s="72">
        <v>233.90600000000001</v>
      </c>
      <c r="E33" s="174"/>
      <c r="F33" s="191"/>
      <c r="G33" s="183"/>
      <c r="H33" s="169"/>
      <c r="I33" s="163"/>
      <c r="J33" s="183"/>
    </row>
    <row r="34" spans="1:11" x14ac:dyDescent="0.45">
      <c r="A34" s="196"/>
      <c r="B34" s="200" t="s">
        <v>371</v>
      </c>
      <c r="C34" s="72" t="s">
        <v>381</v>
      </c>
      <c r="D34" s="72">
        <v>1475</v>
      </c>
      <c r="E34" s="189" t="b">
        <v>1</v>
      </c>
      <c r="F34" s="192">
        <f>2*VIA_L1_L12</f>
        <v>149.86799999999999</v>
      </c>
      <c r="G34" s="195">
        <f>IF(OR(SDMMC_BALLNAME = " ",SDMMC_NET_NAME = " "), "NA", (SDMMC_TRACE_LENGTH +$D35)/39.37 +IF($E:E = FALSE, 0, F:F)/39.37)</f>
        <v>46.962230124460255</v>
      </c>
      <c r="H34" s="168" t="str">
        <f t="shared" ref="H34" si="26">_xlfn.CONCAT(($G$40-G34)*39.37," mils")</f>
        <v>4.1049999999997 mils</v>
      </c>
      <c r="I34" s="168" t="str">
        <f>_xlfn.CONCAT((($G$40-$G34)*100*39.37)/$B$60," %")</f>
        <v>1.56400812801614 %</v>
      </c>
      <c r="J34" s="182" t="str">
        <f t="shared" ref="J34" si="27">_xlfn.CONCAT(((G34*39.37)/$B$61)*100,"%")</f>
        <v>74.3568643637287%</v>
      </c>
    </row>
    <row r="35" spans="1:11" ht="14.65" thickBot="1" x14ac:dyDescent="0.5">
      <c r="A35" s="196"/>
      <c r="B35" s="199"/>
      <c r="C35" s="72" t="s">
        <v>409</v>
      </c>
      <c r="D35" s="115">
        <v>224.035</v>
      </c>
      <c r="E35" s="174"/>
      <c r="F35" s="191"/>
      <c r="G35" s="183"/>
      <c r="H35" s="169"/>
      <c r="I35" s="163"/>
      <c r="J35" s="183"/>
    </row>
    <row r="36" spans="1:11" x14ac:dyDescent="0.45">
      <c r="A36" s="197"/>
      <c r="B36" s="200" t="s">
        <v>419</v>
      </c>
      <c r="C36" s="72" t="s">
        <v>420</v>
      </c>
      <c r="D36" s="115">
        <v>1447.182</v>
      </c>
      <c r="E36" s="189" t="b">
        <v>1</v>
      </c>
      <c r="F36" s="192">
        <f>2*VIA_L1_L12</f>
        <v>149.86799999999999</v>
      </c>
      <c r="G36" s="195">
        <f>IF(OR(SDMMC_BALLNAME = " ",SDMMC_NET_NAME = " "), "NA", (SDMMC_TRACE_LENGTH +$D37)/39.37 +IF($E:E = FALSE, 0, F:F)/39.37)</f>
        <v>47.044018288036582</v>
      </c>
      <c r="H36" s="168" t="str">
        <f t="shared" ref="H36" si="28">_xlfn.CONCAT(($G$40-G36)*39.37," mils")</f>
        <v>0.884999999999699 mils</v>
      </c>
      <c r="I36" s="168" t="str">
        <f t="shared" ref="I36" si="29">_xlfn.CONCAT((($G$40-$G36)*100*39.37)/$B$60," %")</f>
        <v>0.337185674371234 %</v>
      </c>
      <c r="J36" s="182" t="str">
        <f t="shared" ref="J36" si="30">_xlfn.CONCAT(((G36*39.37)/$B$61)*100,"%")</f>
        <v>74.4863622893913%</v>
      </c>
      <c r="K36" t="s">
        <v>424</v>
      </c>
    </row>
    <row r="37" spans="1:11" ht="14.65" thickBot="1" x14ac:dyDescent="0.5">
      <c r="A37" s="197"/>
      <c r="B37" s="199"/>
      <c r="C37" s="72" t="s">
        <v>421</v>
      </c>
      <c r="D37" s="115">
        <v>255.07300000000001</v>
      </c>
      <c r="E37" s="174"/>
      <c r="F37" s="191"/>
      <c r="G37" s="183"/>
      <c r="H37" s="169"/>
      <c r="I37" s="163"/>
      <c r="J37" s="183"/>
    </row>
    <row r="38" spans="1:11" x14ac:dyDescent="0.45">
      <c r="A38" s="197"/>
      <c r="B38" s="200" t="s">
        <v>418</v>
      </c>
      <c r="C38" s="72" t="s">
        <v>422</v>
      </c>
      <c r="D38" s="115">
        <v>1350</v>
      </c>
      <c r="E38" s="189" t="b">
        <v>1</v>
      </c>
      <c r="F38" s="192">
        <f>2*VIA_L1_L12</f>
        <v>149.86799999999999</v>
      </c>
      <c r="G38" s="195">
        <f>IF(OR(SDMMC_BALLNAME = " ",SDMMC_NET_NAME = " "), "NA", (SDMMC_TRACE_LENGTH +$D39)/39.37 +IF($E:E = FALSE, 0, F:F)/39.37)</f>
        <v>47.050749301498605</v>
      </c>
      <c r="H38" s="168" t="str">
        <f t="shared" ref="H38" si="31">_xlfn.CONCAT(($G$40-G38)*39.37," mils")</f>
        <v>0.619999999999859 mils</v>
      </c>
      <c r="I38" s="168" t="str">
        <f t="shared" ref="I38" si="32">_xlfn.CONCAT((($G$40-$G38)*100*39.37)/$B$60," %")</f>
        <v>0.236220472440891 %</v>
      </c>
      <c r="J38" s="182" t="str">
        <f t="shared" ref="J38" si="33">_xlfn.CONCAT(((G38*39.37)/$B$61)*100,"%")</f>
        <v>74.4970197273728%</v>
      </c>
    </row>
    <row r="39" spans="1:11" ht="14.65" thickBot="1" x14ac:dyDescent="0.5">
      <c r="A39" s="197"/>
      <c r="B39" s="199"/>
      <c r="C39" s="72" t="s">
        <v>423</v>
      </c>
      <c r="D39" s="115">
        <v>352.52</v>
      </c>
      <c r="E39" s="174"/>
      <c r="F39" s="191"/>
      <c r="G39" s="183"/>
      <c r="H39" s="169"/>
      <c r="I39" s="163"/>
      <c r="J39" s="183"/>
    </row>
    <row r="40" spans="1:11" x14ac:dyDescent="0.45">
      <c r="A40" s="197"/>
      <c r="B40" s="200" t="s">
        <v>372</v>
      </c>
      <c r="C40" s="72" t="s">
        <v>382</v>
      </c>
      <c r="D40" s="72">
        <v>1425</v>
      </c>
      <c r="E40" s="189" t="b">
        <v>1</v>
      </c>
      <c r="F40" s="192">
        <f>2*VIA_L1_L12</f>
        <v>149.86799999999999</v>
      </c>
      <c r="G40" s="195">
        <f>IF(OR(SDMMC_BALLNAME = " ",SDMMC_NET_NAME = " "), "NA", (SDMMC_TRACE_LENGTH +$D41)/39.37 +IF($E:E = FALSE, 0, F:F)/39.37)</f>
        <v>47.066497332994665</v>
      </c>
      <c r="H40" s="168" t="str">
        <f t="shared" ref="H40" si="34">_xlfn.CONCAT(($G$40-G40)*39.37," mils")</f>
        <v>0 mils</v>
      </c>
      <c r="I40" s="168" t="str">
        <f t="shared" ref="I40" si="35">_xlfn.CONCAT((($G$40-$G40)*100*39.37)/$B$60," %")</f>
        <v>0 %</v>
      </c>
      <c r="J40" s="182" t="str">
        <f t="shared" ref="J40" si="36">_xlfn.CONCAT(((G40*39.37)/$B$61)*100,"%")</f>
        <v>74.5219541105749%</v>
      </c>
    </row>
    <row r="41" spans="1:11" s="117" customFormat="1" ht="14.65" thickBot="1" x14ac:dyDescent="0.5">
      <c r="A41" s="197"/>
      <c r="B41" s="201"/>
      <c r="C41" s="105" t="s">
        <v>408</v>
      </c>
      <c r="D41" s="105">
        <v>278.14</v>
      </c>
      <c r="E41" s="187"/>
      <c r="F41" s="193"/>
      <c r="G41" s="184"/>
      <c r="H41" s="169"/>
      <c r="I41" s="169"/>
      <c r="J41" s="184"/>
    </row>
    <row r="42" spans="1:11" x14ac:dyDescent="0.45">
      <c r="A42" s="196" t="s">
        <v>427</v>
      </c>
      <c r="B42" s="103" t="s">
        <v>363</v>
      </c>
      <c r="C42" s="106" t="s">
        <v>373</v>
      </c>
      <c r="D42" s="106"/>
      <c r="E42" s="109" t="b">
        <v>0</v>
      </c>
      <c r="F42" s="111"/>
      <c r="G42" s="106"/>
      <c r="H42" s="106"/>
      <c r="I42" s="106">
        <f t="shared" ref="I42:I51" si="37">(((ABS($G$16-G42))*39.37)/$B$60)*100</f>
        <v>928.03403606807217</v>
      </c>
      <c r="J42" s="106">
        <f t="shared" ref="J42:J51" si="38">((G42*39.37)/$B$61)*100</f>
        <v>0</v>
      </c>
    </row>
    <row r="43" spans="1:11" x14ac:dyDescent="0.45">
      <c r="A43" s="196"/>
      <c r="B43" s="102" t="s">
        <v>364</v>
      </c>
      <c r="C43" s="72" t="s">
        <v>374</v>
      </c>
      <c r="D43" s="72"/>
      <c r="E43" s="107" t="b">
        <v>0</v>
      </c>
      <c r="F43" s="87"/>
      <c r="G43" s="72"/>
      <c r="H43" s="72"/>
      <c r="I43" s="72">
        <f t="shared" si="37"/>
        <v>928.03403606807217</v>
      </c>
      <c r="J43" s="72">
        <f t="shared" si="38"/>
        <v>0</v>
      </c>
    </row>
    <row r="44" spans="1:11" x14ac:dyDescent="0.45">
      <c r="A44" s="196"/>
      <c r="B44" s="102" t="s">
        <v>365</v>
      </c>
      <c r="C44" s="72" t="s">
        <v>375</v>
      </c>
      <c r="D44" s="72"/>
      <c r="E44" s="107" t="b">
        <v>0</v>
      </c>
      <c r="F44" s="87"/>
      <c r="G44" s="72">
        <f>IF(OR(SDMMC_BALLNAME = " ",SDMMC_NET_NAME = " "), "NA", (SDMMC_TRACE_LENGTH)/39.37 +IF($E:E = FALSE, 0, F:F)/39.37)</f>
        <v>0</v>
      </c>
      <c r="H44" s="72"/>
      <c r="I44" s="72">
        <f t="shared" si="37"/>
        <v>928.03403606807217</v>
      </c>
      <c r="J44" s="72">
        <f t="shared" si="38"/>
        <v>0</v>
      </c>
    </row>
    <row r="45" spans="1:11" x14ac:dyDescent="0.45">
      <c r="A45" s="196"/>
      <c r="B45" s="102" t="s">
        <v>366</v>
      </c>
      <c r="C45" s="72" t="s">
        <v>376</v>
      </c>
      <c r="D45" s="72"/>
      <c r="E45" s="107" t="b">
        <v>0</v>
      </c>
      <c r="F45" s="87"/>
      <c r="G45" s="72">
        <f>IF(OR(SDMMC_BALLNAME = " ",SDMMC_NET_NAME = " "), "NA", (SDMMC_TRACE_LENGTH)/39.37 +IF($E:E = FALSE, 0, F:F)/39.37)</f>
        <v>0</v>
      </c>
      <c r="H45" s="72"/>
      <c r="I45" s="72">
        <f t="shared" si="37"/>
        <v>928.03403606807217</v>
      </c>
      <c r="J45" s="72">
        <f t="shared" si="38"/>
        <v>0</v>
      </c>
    </row>
    <row r="46" spans="1:11" x14ac:dyDescent="0.45">
      <c r="A46" s="196"/>
      <c r="B46" s="102" t="s">
        <v>367</v>
      </c>
      <c r="C46" s="72" t="s">
        <v>377</v>
      </c>
      <c r="D46" s="72"/>
      <c r="E46" s="107" t="b">
        <v>0</v>
      </c>
      <c r="F46" s="87"/>
      <c r="G46" s="72">
        <f>IF(OR(SDMMC_BALLNAME = " ",SDMMC_NET_NAME = " "), "NA", (SDMMC_TRACE_LENGTH)/39.37 +IF($E:E = FALSE, 0, F:F)/39.37)</f>
        <v>0</v>
      </c>
      <c r="H46" s="72"/>
      <c r="I46" s="72">
        <f t="shared" si="37"/>
        <v>928.03403606807217</v>
      </c>
      <c r="J46" s="72">
        <f t="shared" si="38"/>
        <v>0</v>
      </c>
    </row>
    <row r="47" spans="1:11" x14ac:dyDescent="0.45">
      <c r="A47" s="196"/>
      <c r="B47" s="102" t="s">
        <v>368</v>
      </c>
      <c r="C47" s="72" t="s">
        <v>378</v>
      </c>
      <c r="D47" s="72"/>
      <c r="E47" s="107" t="b">
        <v>0</v>
      </c>
      <c r="F47" s="87"/>
      <c r="G47" s="72">
        <f>IF(OR(SDMMC_BALLNAME = " ",SDMMC_NET_NAME = " "), "NA", (SDMMC_TRACE_LENGTH)/39.37 +IF($E:E = FALSE, 0, F:F)/39.37)</f>
        <v>0</v>
      </c>
      <c r="H47" s="72"/>
      <c r="I47" s="72">
        <f t="shared" si="37"/>
        <v>928.03403606807217</v>
      </c>
      <c r="J47" s="72">
        <f t="shared" si="38"/>
        <v>0</v>
      </c>
    </row>
    <row r="48" spans="1:11" x14ac:dyDescent="0.45">
      <c r="A48" s="196"/>
      <c r="B48" s="102" t="s">
        <v>369</v>
      </c>
      <c r="C48" s="72" t="s">
        <v>379</v>
      </c>
      <c r="D48" s="72"/>
      <c r="E48" s="107" t="b">
        <v>0</v>
      </c>
      <c r="F48" s="87"/>
      <c r="G48" s="72">
        <f>IF(OR(SDMMC_BALLNAME = " ",SDMMC_NET_NAME = " "), "NA", (SDMMC_TRACE_LENGTH)/39.37 +IF($E:E = FALSE, 0, F:F)/39.37)</f>
        <v>0</v>
      </c>
      <c r="H48" s="72"/>
      <c r="I48" s="72">
        <f t="shared" si="37"/>
        <v>928.03403606807217</v>
      </c>
      <c r="J48" s="72">
        <f t="shared" si="38"/>
        <v>0</v>
      </c>
    </row>
    <row r="49" spans="1:10" x14ac:dyDescent="0.45">
      <c r="A49" s="196"/>
      <c r="B49" s="102" t="s">
        <v>370</v>
      </c>
      <c r="C49" s="72" t="s">
        <v>380</v>
      </c>
      <c r="D49" s="72"/>
      <c r="E49" s="107" t="b">
        <v>0</v>
      </c>
      <c r="F49" s="87"/>
      <c r="G49" s="72">
        <f>IF(OR(SDMMC_BALLNAME = " ",SDMMC_NET_NAME = " "), "NA", (SDMMC_TRACE_LENGTH)/39.37 +IF($E:E = FALSE, 0, F:F)/39.37)</f>
        <v>0</v>
      </c>
      <c r="H49" s="72"/>
      <c r="I49" s="72">
        <f t="shared" si="37"/>
        <v>928.03403606807217</v>
      </c>
      <c r="J49" s="72">
        <f t="shared" si="38"/>
        <v>0</v>
      </c>
    </row>
    <row r="50" spans="1:10" x14ac:dyDescent="0.45">
      <c r="A50" s="196"/>
      <c r="B50" s="102" t="s">
        <v>371</v>
      </c>
      <c r="C50" s="72" t="s">
        <v>381</v>
      </c>
      <c r="D50" s="72"/>
      <c r="E50" s="107" t="b">
        <v>0</v>
      </c>
      <c r="F50" s="87"/>
      <c r="G50" s="72">
        <f>IF(OR(SDMMC_BALLNAME = " ",SDMMC_NET_NAME = " "), "NA", (SDMMC_TRACE_LENGTH)/39.37 +IF($E:E = FALSE, 0, F:F)/39.37)</f>
        <v>0</v>
      </c>
      <c r="H50" s="72"/>
      <c r="I50" s="72">
        <f t="shared" si="37"/>
        <v>928.03403606807217</v>
      </c>
      <c r="J50" s="72">
        <f t="shared" si="38"/>
        <v>0</v>
      </c>
    </row>
    <row r="51" spans="1:10" ht="14.65" thickBot="1" x14ac:dyDescent="0.5">
      <c r="A51" s="196"/>
      <c r="B51" s="104" t="s">
        <v>372</v>
      </c>
      <c r="C51" s="105" t="s">
        <v>382</v>
      </c>
      <c r="D51" s="105"/>
      <c r="E51" s="108" t="b">
        <v>0</v>
      </c>
      <c r="F51" s="110"/>
      <c r="G51" s="105">
        <f>IF(OR(SDMMC_BALLNAME = " ",SDMMC_NET_NAME = " "), "NA", (SDMMC_TRACE_LENGTH)/39.37 +IF($E:E = FALSE, 0, F:F)/39.37)</f>
        <v>0</v>
      </c>
      <c r="H51" s="105"/>
      <c r="I51" s="105">
        <f t="shared" si="37"/>
        <v>928.03403606807217</v>
      </c>
      <c r="J51" s="105">
        <f t="shared" si="38"/>
        <v>0</v>
      </c>
    </row>
    <row r="53" spans="1:10" ht="21" x14ac:dyDescent="0.65">
      <c r="A53" s="165" t="s">
        <v>389</v>
      </c>
      <c r="B53" s="165"/>
      <c r="C53" s="165"/>
      <c r="D53" s="165"/>
    </row>
    <row r="54" spans="1:10" x14ac:dyDescent="0.45">
      <c r="A54" s="73" t="s">
        <v>390</v>
      </c>
    </row>
    <row r="55" spans="1:10" x14ac:dyDescent="0.45">
      <c r="A55" t="s">
        <v>391</v>
      </c>
    </row>
    <row r="57" spans="1:10" x14ac:dyDescent="0.45">
      <c r="A57" s="73" t="s">
        <v>392</v>
      </c>
      <c r="B57">
        <v>1.9</v>
      </c>
    </row>
    <row r="58" spans="1:10" x14ac:dyDescent="0.45">
      <c r="A58" s="73" t="s">
        <v>393</v>
      </c>
      <c r="B58">
        <v>1.5</v>
      </c>
    </row>
    <row r="60" spans="1:10" x14ac:dyDescent="0.45">
      <c r="A60" s="73" t="s">
        <v>394</v>
      </c>
      <c r="B60">
        <f>(10/$B$58)*39.37</f>
        <v>262.46666666666664</v>
      </c>
    </row>
    <row r="61" spans="1:10" x14ac:dyDescent="0.45">
      <c r="A61" s="73" t="s">
        <v>395</v>
      </c>
      <c r="B61">
        <f>(120/$B$57)*39.37</f>
        <v>2486.5263157894738</v>
      </c>
    </row>
  </sheetData>
  <mergeCells count="130">
    <mergeCell ref="A18:A41"/>
    <mergeCell ref="A42:A51"/>
    <mergeCell ref="A53:D53"/>
    <mergeCell ref="B18:B19"/>
    <mergeCell ref="B20:B21"/>
    <mergeCell ref="B22:B23"/>
    <mergeCell ref="B24:B25"/>
    <mergeCell ref="B26:B27"/>
    <mergeCell ref="B28:B29"/>
    <mergeCell ref="B30:B31"/>
    <mergeCell ref="B32:B33"/>
    <mergeCell ref="B34:B35"/>
    <mergeCell ref="B40:B41"/>
    <mergeCell ref="B38:B39"/>
    <mergeCell ref="B36:B37"/>
    <mergeCell ref="G28:G29"/>
    <mergeCell ref="G30:G31"/>
    <mergeCell ref="G32:G33"/>
    <mergeCell ref="G34:G35"/>
    <mergeCell ref="G40:G41"/>
    <mergeCell ref="G36:G37"/>
    <mergeCell ref="G38:G39"/>
    <mergeCell ref="G18:G19"/>
    <mergeCell ref="G20:G21"/>
    <mergeCell ref="G22:G23"/>
    <mergeCell ref="G24:G25"/>
    <mergeCell ref="G26:G27"/>
    <mergeCell ref="I28:I29"/>
    <mergeCell ref="I30:I31"/>
    <mergeCell ref="I32:I33"/>
    <mergeCell ref="I34:I35"/>
    <mergeCell ref="I40:I41"/>
    <mergeCell ref="I18:I19"/>
    <mergeCell ref="I20:I21"/>
    <mergeCell ref="I22:I23"/>
    <mergeCell ref="I24:I25"/>
    <mergeCell ref="I26:I27"/>
    <mergeCell ref="H28:H29"/>
    <mergeCell ref="H30:H31"/>
    <mergeCell ref="H32:H33"/>
    <mergeCell ref="H34:H35"/>
    <mergeCell ref="H40:H41"/>
    <mergeCell ref="H18:H19"/>
    <mergeCell ref="H20:H21"/>
    <mergeCell ref="H22:H23"/>
    <mergeCell ref="H24:H25"/>
    <mergeCell ref="H26:H27"/>
    <mergeCell ref="F38:F39"/>
    <mergeCell ref="F40:F41"/>
    <mergeCell ref="E28:E29"/>
    <mergeCell ref="E30:E31"/>
    <mergeCell ref="E32:E33"/>
    <mergeCell ref="E34:E35"/>
    <mergeCell ref="E36:E37"/>
    <mergeCell ref="E18:E19"/>
    <mergeCell ref="E20:E21"/>
    <mergeCell ref="E22:E23"/>
    <mergeCell ref="E24:E25"/>
    <mergeCell ref="E26:E27"/>
    <mergeCell ref="F20:F21"/>
    <mergeCell ref="F22:F23"/>
    <mergeCell ref="F24:F25"/>
    <mergeCell ref="F26:F27"/>
    <mergeCell ref="F28:F29"/>
    <mergeCell ref="F30:F31"/>
    <mergeCell ref="F32:F33"/>
    <mergeCell ref="F34:F35"/>
    <mergeCell ref="F36:F37"/>
    <mergeCell ref="A3:A17"/>
    <mergeCell ref="B2:B3"/>
    <mergeCell ref="J38:J39"/>
    <mergeCell ref="J40:J41"/>
    <mergeCell ref="I36:I37"/>
    <mergeCell ref="I38:I39"/>
    <mergeCell ref="B16:B17"/>
    <mergeCell ref="E16:E17"/>
    <mergeCell ref="J16:J17"/>
    <mergeCell ref="H36:H37"/>
    <mergeCell ref="H38:H39"/>
    <mergeCell ref="J28:J29"/>
    <mergeCell ref="J30:J31"/>
    <mergeCell ref="J32:J33"/>
    <mergeCell ref="J34:J35"/>
    <mergeCell ref="J36:J37"/>
    <mergeCell ref="J18:J19"/>
    <mergeCell ref="J20:J21"/>
    <mergeCell ref="J22:J23"/>
    <mergeCell ref="J24:J25"/>
    <mergeCell ref="J26:J27"/>
    <mergeCell ref="E38:E39"/>
    <mergeCell ref="E40:E41"/>
    <mergeCell ref="F18:F19"/>
    <mergeCell ref="E10:E11"/>
    <mergeCell ref="E2:E3"/>
    <mergeCell ref="E4:E5"/>
    <mergeCell ref="E6:E7"/>
    <mergeCell ref="E8:E9"/>
    <mergeCell ref="B10:B11"/>
    <mergeCell ref="B8:B9"/>
    <mergeCell ref="B6:B7"/>
    <mergeCell ref="B4:B5"/>
    <mergeCell ref="G6:G7"/>
    <mergeCell ref="G4:G5"/>
    <mergeCell ref="G2:G3"/>
    <mergeCell ref="H2:H3"/>
    <mergeCell ref="H4:H5"/>
    <mergeCell ref="H6:H7"/>
    <mergeCell ref="F16:F17"/>
    <mergeCell ref="G16:G17"/>
    <mergeCell ref="G10:G11"/>
    <mergeCell ref="G8:G9"/>
    <mergeCell ref="F2:F3"/>
    <mergeCell ref="F4:F5"/>
    <mergeCell ref="F6:F7"/>
    <mergeCell ref="F8:F9"/>
    <mergeCell ref="F10:F11"/>
    <mergeCell ref="J10:J11"/>
    <mergeCell ref="J8:J9"/>
    <mergeCell ref="J6:J7"/>
    <mergeCell ref="J4:J5"/>
    <mergeCell ref="J2:J3"/>
    <mergeCell ref="H8:H9"/>
    <mergeCell ref="H10:H11"/>
    <mergeCell ref="H16:H17"/>
    <mergeCell ref="I2:I3"/>
    <mergeCell ref="I4:I5"/>
    <mergeCell ref="I6:I7"/>
    <mergeCell ref="I8:I9"/>
    <mergeCell ref="I10:I11"/>
    <mergeCell ref="I16:I17"/>
  </mergeCells>
  <phoneticPr fontId="16" type="noConversion"/>
  <conditionalFormatting sqref="F2 F4 F6 F8 F10 F16">
    <cfRule type="expression" dxfId="5" priority="236">
      <formula>$E2:$E10 = TRUE</formula>
    </cfRule>
  </conditionalFormatting>
  <conditionalFormatting sqref="F18 F20 F22 F24 F26 F28 F30 F32 F34 F36 F38 F40">
    <cfRule type="expression" dxfId="4" priority="2">
      <formula>$E18:$E206 = TRUE</formula>
    </cfRule>
  </conditionalFormatting>
  <conditionalFormatting sqref="F42:F51">
    <cfRule type="expression" dxfId="3" priority="5">
      <formula>$E42:$E62 = TRUE</formula>
    </cfRule>
  </conditionalFormatting>
  <conditionalFormatting sqref="G18:G4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4173-DC9F-4584-876B-0C1C1BB5AD14}">
  <dimension ref="A1:K37"/>
  <sheetViews>
    <sheetView zoomScale="66" zoomScaleNormal="106" workbookViewId="0">
      <selection activeCell="H7" sqref="H7"/>
    </sheetView>
  </sheetViews>
  <sheetFormatPr defaultRowHeight="14.25" x14ac:dyDescent="0.45"/>
  <cols>
    <col min="1" max="4" width="19.59765625" customWidth="1"/>
    <col min="5" max="5" width="18.796875" customWidth="1"/>
    <col min="6" max="6" width="11.19921875" customWidth="1"/>
    <col min="7" max="7" width="11.1328125" customWidth="1"/>
    <col min="8" max="8" width="13.9296875" customWidth="1"/>
    <col min="9" max="9" width="18.19921875" customWidth="1"/>
    <col min="10" max="10" width="19.59765625" customWidth="1"/>
    <col min="11" max="11" width="28" customWidth="1"/>
    <col min="12" max="12" width="17.53125" customWidth="1"/>
  </cols>
  <sheetData>
    <row r="1" spans="1:11" ht="46.9" customHeight="1" x14ac:dyDescent="0.45">
      <c r="A1" s="70"/>
      <c r="B1" s="68" t="s">
        <v>142</v>
      </c>
      <c r="C1" s="86" t="s">
        <v>301</v>
      </c>
      <c r="D1" s="69" t="s">
        <v>0</v>
      </c>
      <c r="E1" s="95" t="s">
        <v>279</v>
      </c>
      <c r="F1" s="71" t="s">
        <v>316</v>
      </c>
      <c r="G1" s="95" t="s">
        <v>321</v>
      </c>
      <c r="H1" s="71" t="s">
        <v>310</v>
      </c>
      <c r="I1" s="71" t="s">
        <v>252</v>
      </c>
      <c r="J1" s="71" t="s">
        <v>280</v>
      </c>
      <c r="K1" s="71" t="s">
        <v>322</v>
      </c>
    </row>
    <row r="2" spans="1:11" ht="14.25" customHeight="1" x14ac:dyDescent="0.45">
      <c r="A2" s="206" t="s">
        <v>299</v>
      </c>
      <c r="B2" s="168" t="s">
        <v>294</v>
      </c>
      <c r="C2" s="72" t="s">
        <v>295</v>
      </c>
      <c r="D2" s="87"/>
      <c r="E2">
        <v>20</v>
      </c>
      <c r="F2" s="93" t="b">
        <v>1</v>
      </c>
      <c r="G2" s="90">
        <f>VIA_L1_L12</f>
        <v>74.933999999999997</v>
      </c>
      <c r="H2" s="89" t="b">
        <v>0</v>
      </c>
      <c r="I2" s="90"/>
      <c r="J2" s="72">
        <f t="shared" ref="J2:J13" si="0">IF(OR(NET_NAME_LVDS="NA",E:E=" "),"NA",((PACKAGE_LENGTH_LVDS+I:I)/39.37)+IF(F:F=FALSE,0,G:G)/39.37 +IF(H:H=FALSE,0,I:I)/ 39.37)</f>
        <v>2.4113284226568457</v>
      </c>
      <c r="K2" s="92"/>
    </row>
    <row r="3" spans="1:11" x14ac:dyDescent="0.45">
      <c r="A3" s="207"/>
      <c r="B3" s="162"/>
      <c r="C3" s="72" t="s">
        <v>296</v>
      </c>
      <c r="D3" s="87"/>
      <c r="E3" s="72">
        <v>20</v>
      </c>
      <c r="F3" s="89" t="b">
        <v>1</v>
      </c>
      <c r="G3" s="90">
        <f>VIA_L1_L12</f>
        <v>74.933999999999997</v>
      </c>
      <c r="H3" s="89"/>
      <c r="I3" s="91"/>
      <c r="J3" s="72">
        <f t="shared" si="0"/>
        <v>2.4113284226568457</v>
      </c>
      <c r="K3" s="92"/>
    </row>
    <row r="4" spans="1:11" x14ac:dyDescent="0.45">
      <c r="A4" s="207"/>
      <c r="B4" s="162"/>
      <c r="C4" s="72" t="s">
        <v>300</v>
      </c>
      <c r="D4" s="87"/>
      <c r="E4" s="72">
        <v>357.52</v>
      </c>
      <c r="F4" s="89" t="b">
        <v>1</v>
      </c>
      <c r="G4" s="91">
        <f>VIA_L1_L9*2</f>
        <v>110.94799999999999</v>
      </c>
      <c r="H4" s="89"/>
      <c r="I4" s="91"/>
      <c r="J4" s="72">
        <f t="shared" si="0"/>
        <v>11.899110998221998</v>
      </c>
      <c r="K4" s="92"/>
    </row>
    <row r="5" spans="1:11" x14ac:dyDescent="0.45">
      <c r="A5" s="207"/>
      <c r="B5" s="162"/>
      <c r="C5" s="72" t="s">
        <v>302</v>
      </c>
      <c r="D5" s="87"/>
      <c r="E5" s="72">
        <v>357.78800000000001</v>
      </c>
      <c r="F5" s="89" t="b">
        <v>1</v>
      </c>
      <c r="G5" s="91">
        <f>VIA_L1_L9*2</f>
        <v>110.94799999999999</v>
      </c>
      <c r="H5" s="89" t="b">
        <v>0</v>
      </c>
      <c r="I5" s="91"/>
      <c r="J5" s="72">
        <f t="shared" si="0"/>
        <v>11.905918211836426</v>
      </c>
      <c r="K5" s="92"/>
    </row>
    <row r="6" spans="1:11" x14ac:dyDescent="0.45">
      <c r="A6" s="208" t="s">
        <v>323</v>
      </c>
      <c r="B6" s="162"/>
      <c r="C6" s="87"/>
      <c r="D6" s="72" t="s">
        <v>297</v>
      </c>
      <c r="E6" s="72">
        <v>1046.604</v>
      </c>
      <c r="F6" s="89" t="b">
        <v>1</v>
      </c>
      <c r="G6" s="91">
        <f>VIA_L1_L3 + VIA_L1_L10</f>
        <v>74.933999999999997</v>
      </c>
      <c r="H6" s="89" t="b">
        <v>0</v>
      </c>
      <c r="I6" s="91"/>
      <c r="J6" s="72">
        <f t="shared" si="0"/>
        <v>28.487122174244352</v>
      </c>
      <c r="K6" s="175">
        <f>(ABS(J2-J3)+ABS(J4-J5)+ABS(J7-J6)) * 39.37</f>
        <v>1.0529999999998314</v>
      </c>
    </row>
    <row r="7" spans="1:11" x14ac:dyDescent="0.45">
      <c r="A7" s="208"/>
      <c r="B7" s="162"/>
      <c r="C7" s="87"/>
      <c r="D7" s="72" t="s">
        <v>298</v>
      </c>
      <c r="E7" s="72">
        <v>1047.3889999999999</v>
      </c>
      <c r="F7" s="89" t="b">
        <v>1</v>
      </c>
      <c r="G7" s="91">
        <f>VIA_L1_L3 + VIA_L1_L10</f>
        <v>74.933999999999997</v>
      </c>
      <c r="H7" s="89" t="b">
        <v>0</v>
      </c>
      <c r="I7" s="91"/>
      <c r="J7" s="72">
        <f t="shared" si="0"/>
        <v>28.507061214122427</v>
      </c>
      <c r="K7" s="176"/>
    </row>
    <row r="8" spans="1:11" x14ac:dyDescent="0.45">
      <c r="A8" s="202" t="s">
        <v>293</v>
      </c>
      <c r="B8" s="162"/>
      <c r="C8" s="88"/>
      <c r="D8" s="72" t="s">
        <v>303</v>
      </c>
      <c r="E8" s="72">
        <v>1020.773</v>
      </c>
      <c r="F8" s="89" t="b">
        <v>0</v>
      </c>
      <c r="G8" s="91">
        <f>VIA_L1_L9*2 + VIA_L1_L3</f>
        <v>125.10899999999999</v>
      </c>
      <c r="H8" s="89" t="b">
        <v>0</v>
      </c>
      <c r="I8" s="91"/>
      <c r="J8" s="72">
        <f t="shared" si="0"/>
        <v>25.927686055372114</v>
      </c>
      <c r="K8" s="175">
        <f>(ABS(J2-J3)+ABS(J4-J5)+ ABS(J9-J8) +ABS(J11-J10)) * 39.37</f>
        <v>156.136</v>
      </c>
    </row>
    <row r="9" spans="1:11" x14ac:dyDescent="0.45">
      <c r="A9" s="204"/>
      <c r="B9" s="162"/>
      <c r="C9" s="88"/>
      <c r="D9" s="72" t="s">
        <v>304</v>
      </c>
      <c r="E9" s="72">
        <v>1020.886</v>
      </c>
      <c r="F9" s="89" t="b">
        <v>1</v>
      </c>
      <c r="G9" s="91">
        <f>VIA_L1_L9*2 + VIA_L1_L3</f>
        <v>125.10899999999999</v>
      </c>
      <c r="H9" s="89" t="b">
        <v>0</v>
      </c>
      <c r="I9" s="91"/>
      <c r="J9" s="72">
        <f t="shared" si="0"/>
        <v>29.108331216662435</v>
      </c>
      <c r="K9" s="205"/>
    </row>
    <row r="10" spans="1:11" x14ac:dyDescent="0.45">
      <c r="A10" s="204"/>
      <c r="B10" s="162"/>
      <c r="C10" s="88"/>
      <c r="D10" s="72" t="s">
        <v>305</v>
      </c>
      <c r="E10" s="72">
        <v>359.55500000000001</v>
      </c>
      <c r="F10" s="89" t="b">
        <v>1</v>
      </c>
      <c r="G10" s="91">
        <f>VIA_L1_L3*2</f>
        <v>28.321999999999999</v>
      </c>
      <c r="H10" s="89" t="b">
        <v>0</v>
      </c>
      <c r="I10" s="91"/>
      <c r="J10" s="72">
        <f t="shared" si="0"/>
        <v>9.8520955041910092</v>
      </c>
      <c r="K10" s="205"/>
    </row>
    <row r="11" spans="1:11" x14ac:dyDescent="0.45">
      <c r="A11" s="203"/>
      <c r="B11" s="162"/>
      <c r="C11" s="88"/>
      <c r="D11" s="72" t="s">
        <v>306</v>
      </c>
      <c r="E11" s="72">
        <v>328.90899999999999</v>
      </c>
      <c r="F11" s="89" t="b">
        <v>1</v>
      </c>
      <c r="G11" s="91">
        <f>VIA_L1_L3*2</f>
        <v>28.321999999999999</v>
      </c>
      <c r="H11" s="89" t="b">
        <v>0</v>
      </c>
      <c r="I11" s="91"/>
      <c r="J11" s="72">
        <f t="shared" si="0"/>
        <v>9.0736855473710953</v>
      </c>
      <c r="K11" s="176"/>
    </row>
    <row r="12" spans="1:11" x14ac:dyDescent="0.45">
      <c r="A12" s="202" t="s">
        <v>307</v>
      </c>
      <c r="B12" s="162"/>
      <c r="C12" s="88"/>
      <c r="D12" s="72" t="s">
        <v>308</v>
      </c>
      <c r="E12" s="72">
        <v>1555.3910000000001</v>
      </c>
      <c r="F12" s="89" t="b">
        <v>1</v>
      </c>
      <c r="G12" s="91">
        <f>VIA_L1_L10+VIA_L3_L4+VIA_L1_L4</f>
        <v>85.532000000000011</v>
      </c>
      <c r="H12" s="89" t="b">
        <v>0</v>
      </c>
      <c r="I12" s="91"/>
      <c r="J12" s="72">
        <f t="shared" si="0"/>
        <v>41.679527559055124</v>
      </c>
      <c r="K12" s="175">
        <f>(ABS(J2-J3)+ABS(J4-J5)+ ABS(J13-J12)) * 39.37</f>
        <v>1.5249999999997457</v>
      </c>
    </row>
    <row r="13" spans="1:11" x14ac:dyDescent="0.45">
      <c r="A13" s="203"/>
      <c r="B13" s="162"/>
      <c r="C13" s="88"/>
      <c r="D13" s="72" t="s">
        <v>309</v>
      </c>
      <c r="E13" s="72">
        <v>1556.6479999999999</v>
      </c>
      <c r="F13" s="89" t="b">
        <v>1</v>
      </c>
      <c r="G13" s="91">
        <f>VIA_L1_L10+VIA_L3_L4+VIA_L1_L4</f>
        <v>85.532000000000011</v>
      </c>
      <c r="H13" s="89" t="b">
        <v>0</v>
      </c>
      <c r="I13" s="91"/>
      <c r="J13" s="72">
        <f t="shared" si="0"/>
        <v>41.711455422910845</v>
      </c>
      <c r="K13" s="176"/>
    </row>
    <row r="16" spans="1:11" ht="21" x14ac:dyDescent="0.65">
      <c r="A16" s="165" t="s">
        <v>320</v>
      </c>
      <c r="B16" s="165"/>
      <c r="C16" s="165"/>
      <c r="D16" s="165"/>
      <c r="E16" s="165"/>
      <c r="F16" s="81"/>
      <c r="G16" s="81"/>
    </row>
    <row r="17" spans="1:7" x14ac:dyDescent="0.45">
      <c r="A17" s="73" t="s">
        <v>319</v>
      </c>
    </row>
    <row r="18" spans="1:7" x14ac:dyDescent="0.45">
      <c r="A18" t="s">
        <v>265</v>
      </c>
    </row>
    <row r="19" spans="1:7" x14ac:dyDescent="0.45">
      <c r="A19" t="s">
        <v>262</v>
      </c>
    </row>
    <row r="20" spans="1:7" x14ac:dyDescent="0.45">
      <c r="A20" t="s">
        <v>263</v>
      </c>
    </row>
    <row r="21" spans="1:7" x14ac:dyDescent="0.45">
      <c r="A21" t="s">
        <v>264</v>
      </c>
    </row>
    <row r="22" spans="1:7" x14ac:dyDescent="0.45">
      <c r="B22" t="s">
        <v>266</v>
      </c>
      <c r="D22" t="s">
        <v>268</v>
      </c>
    </row>
    <row r="23" spans="1:7" x14ac:dyDescent="0.45">
      <c r="A23" t="s">
        <v>267</v>
      </c>
      <c r="B23">
        <v>5000</v>
      </c>
      <c r="D23">
        <f>(1/B23)*1000000</f>
        <v>200</v>
      </c>
    </row>
    <row r="24" spans="1:7" x14ac:dyDescent="0.45">
      <c r="A24" t="s">
        <v>285</v>
      </c>
      <c r="B24">
        <v>26</v>
      </c>
    </row>
    <row r="25" spans="1:7" x14ac:dyDescent="0.45">
      <c r="A25" t="s">
        <v>286</v>
      </c>
      <c r="B25">
        <v>32</v>
      </c>
    </row>
    <row r="26" spans="1:7" x14ac:dyDescent="0.45">
      <c r="A26" t="s">
        <v>287</v>
      </c>
      <c r="B26">
        <v>25</v>
      </c>
    </row>
    <row r="27" spans="1:7" x14ac:dyDescent="0.45">
      <c r="A27" t="s">
        <v>289</v>
      </c>
      <c r="B27">
        <v>50</v>
      </c>
    </row>
    <row r="28" spans="1:7" x14ac:dyDescent="0.45">
      <c r="A28" t="s">
        <v>290</v>
      </c>
      <c r="B28">
        <v>50</v>
      </c>
    </row>
    <row r="29" spans="1:7" x14ac:dyDescent="0.45">
      <c r="B29">
        <v>5</v>
      </c>
    </row>
    <row r="30" spans="1:7" x14ac:dyDescent="0.45">
      <c r="B30" s="74" t="s">
        <v>277</v>
      </c>
      <c r="C30" s="74"/>
      <c r="D30" s="67">
        <f>(D23-B24-B25-B26-B27-B28)*0.01*B29</f>
        <v>0.85000000000000009</v>
      </c>
    </row>
    <row r="31" spans="1:7" x14ac:dyDescent="0.45">
      <c r="B31" s="74" t="s">
        <v>275</v>
      </c>
      <c r="C31" s="74"/>
      <c r="D31" s="79">
        <f>(D30*299792458*10^3)/(10^12)</f>
        <v>0.25482358929999999</v>
      </c>
    </row>
    <row r="32" spans="1:7" x14ac:dyDescent="0.45">
      <c r="B32" s="74" t="s">
        <v>276</v>
      </c>
      <c r="C32" s="74"/>
      <c r="D32" s="67">
        <f>D31*39.37</f>
        <v>10.032404710740998</v>
      </c>
      <c r="E32" s="73" t="s">
        <v>291</v>
      </c>
      <c r="F32" s="73"/>
      <c r="G32" s="73"/>
    </row>
    <row r="34" spans="1:6" x14ac:dyDescent="0.45">
      <c r="A34" s="73" t="s">
        <v>278</v>
      </c>
    </row>
    <row r="35" spans="1:6" x14ac:dyDescent="0.45">
      <c r="A35" t="s">
        <v>283</v>
      </c>
    </row>
    <row r="36" spans="1:6" x14ac:dyDescent="0.45">
      <c r="A36" t="s">
        <v>288</v>
      </c>
    </row>
    <row r="37" spans="1:6" x14ac:dyDescent="0.45">
      <c r="A37" t="s">
        <v>284</v>
      </c>
      <c r="F37" t="s">
        <v>329</v>
      </c>
    </row>
  </sheetData>
  <mergeCells count="9">
    <mergeCell ref="A16:E16"/>
    <mergeCell ref="A12:A13"/>
    <mergeCell ref="B2:B13"/>
    <mergeCell ref="A8:A11"/>
    <mergeCell ref="K6:K7"/>
    <mergeCell ref="K8:K11"/>
    <mergeCell ref="A2:A5"/>
    <mergeCell ref="A6:A7"/>
    <mergeCell ref="K12:K13"/>
  </mergeCells>
  <phoneticPr fontId="16" type="noConversion"/>
  <conditionalFormatting sqref="J2:J13">
    <cfRule type="colorScale" priority="227">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FDAF1-5D70-42ED-971D-84A71D04C913}">
  <dimension ref="A1:K37"/>
  <sheetViews>
    <sheetView zoomScale="78" workbookViewId="0">
      <selection activeCell="G2" sqref="G2"/>
    </sheetView>
  </sheetViews>
  <sheetFormatPr defaultRowHeight="14.25" x14ac:dyDescent="0.45"/>
  <cols>
    <col min="1" max="1" width="20.796875" customWidth="1"/>
    <col min="2" max="2" width="22.19921875" customWidth="1"/>
    <col min="3" max="3" width="22.33203125" hidden="1" customWidth="1"/>
    <col min="4" max="4" width="21.1328125" customWidth="1"/>
    <col min="5" max="5" width="18.265625" customWidth="1"/>
    <col min="6" max="6" width="15.19921875" customWidth="1"/>
    <col min="7" max="7" width="11.46484375" customWidth="1"/>
    <col min="8" max="8" width="15.6640625" customWidth="1"/>
    <col min="9" max="9" width="15.9296875" customWidth="1"/>
    <col min="10" max="10" width="26.796875" customWidth="1"/>
    <col min="11" max="11" width="35.06640625" customWidth="1"/>
  </cols>
  <sheetData>
    <row r="1" spans="1:11" ht="28.5" x14ac:dyDescent="0.45">
      <c r="A1" s="70"/>
      <c r="B1" s="68" t="s">
        <v>142</v>
      </c>
      <c r="C1" s="86"/>
      <c r="D1" s="69" t="s">
        <v>0</v>
      </c>
      <c r="E1" s="95" t="s">
        <v>279</v>
      </c>
      <c r="F1" s="71" t="s">
        <v>316</v>
      </c>
      <c r="G1" s="95" t="s">
        <v>321</v>
      </c>
      <c r="H1" s="71" t="s">
        <v>310</v>
      </c>
      <c r="I1" s="71" t="s">
        <v>252</v>
      </c>
      <c r="J1" s="71" t="s">
        <v>280</v>
      </c>
      <c r="K1" s="71" t="s">
        <v>396</v>
      </c>
    </row>
    <row r="2" spans="1:11" x14ac:dyDescent="0.45">
      <c r="A2" s="206" t="s">
        <v>332</v>
      </c>
      <c r="B2" s="96" t="s">
        <v>337</v>
      </c>
      <c r="C2" s="96"/>
      <c r="D2" s="96" t="s">
        <v>333</v>
      </c>
      <c r="E2" s="72">
        <f>710.269+226.907</f>
        <v>937.17600000000004</v>
      </c>
      <c r="F2" s="93" t="b">
        <v>1</v>
      </c>
      <c r="G2" s="90">
        <f>VIA_L1_L9 +VIA_L1_L4</f>
        <v>74.933999999999997</v>
      </c>
      <c r="H2" s="89" t="b">
        <v>1</v>
      </c>
      <c r="I2" s="90"/>
      <c r="J2" s="72">
        <f t="shared" ref="J2:J15" si="0">IF(OR(ETHERNET_NET_NAME = " ",ETHERNET_NET_NAME = " "), "NA", (ETHERNET_SOM_LENGTH + IF(F:F = FALSE, 0,VIA_OFFSET_ETHERNET) + IF(H:H = FALSE,0,ETHERNET_BACKPLANE_LENGTH))/39.37)</f>
        <v>25.707645415290834</v>
      </c>
    </row>
    <row r="3" spans="1:11" x14ac:dyDescent="0.45">
      <c r="A3" s="209"/>
      <c r="B3" s="96" t="s">
        <v>334</v>
      </c>
      <c r="C3" s="96"/>
      <c r="D3" s="96" t="s">
        <v>338</v>
      </c>
      <c r="E3" s="72">
        <f>157.695+470.703 + 150</f>
        <v>778.39799999999991</v>
      </c>
      <c r="F3" s="89" t="b">
        <v>1</v>
      </c>
      <c r="G3" s="90">
        <f t="shared" ref="G3:G15" si="1">VIA_L1_L12</f>
        <v>74.933999999999997</v>
      </c>
      <c r="H3" s="89" t="b">
        <v>1</v>
      </c>
      <c r="I3" s="91"/>
      <c r="J3" s="72">
        <f t="shared" si="0"/>
        <v>21.674676149352297</v>
      </c>
    </row>
    <row r="4" spans="1:11" x14ac:dyDescent="0.45">
      <c r="A4" s="206" t="s">
        <v>335</v>
      </c>
      <c r="B4" s="96" t="s">
        <v>339</v>
      </c>
      <c r="C4" s="96"/>
      <c r="D4" s="96" t="s">
        <v>351</v>
      </c>
      <c r="E4" s="72">
        <v>783.49699999999996</v>
      </c>
      <c r="F4" s="89" t="b">
        <v>1</v>
      </c>
      <c r="G4" s="90">
        <f t="shared" si="1"/>
        <v>74.933999999999997</v>
      </c>
      <c r="H4" s="89" t="b">
        <v>1</v>
      </c>
      <c r="I4" s="91"/>
      <c r="J4" s="72">
        <f t="shared" si="0"/>
        <v>21.804191008382016</v>
      </c>
    </row>
    <row r="5" spans="1:11" x14ac:dyDescent="0.45">
      <c r="A5" s="207"/>
      <c r="B5" s="96" t="s">
        <v>340</v>
      </c>
      <c r="C5" s="96"/>
      <c r="D5" s="96" t="s">
        <v>352</v>
      </c>
      <c r="E5" s="72">
        <v>731.798</v>
      </c>
      <c r="F5" s="89" t="b">
        <v>1</v>
      </c>
      <c r="G5" s="90">
        <f t="shared" si="1"/>
        <v>74.933999999999997</v>
      </c>
      <c r="H5" s="89" t="b">
        <v>1</v>
      </c>
      <c r="I5" s="91"/>
      <c r="J5" s="72">
        <f t="shared" si="0"/>
        <v>20.491033782067564</v>
      </c>
    </row>
    <row r="6" spans="1:11" x14ac:dyDescent="0.45">
      <c r="A6" s="207"/>
      <c r="B6" s="96" t="s">
        <v>341</v>
      </c>
      <c r="C6" s="96"/>
      <c r="D6" s="96" t="s">
        <v>353</v>
      </c>
      <c r="E6" s="72">
        <v>731.66600000000005</v>
      </c>
      <c r="F6" s="89" t="b">
        <v>1</v>
      </c>
      <c r="G6" s="90">
        <f t="shared" si="1"/>
        <v>74.933999999999997</v>
      </c>
      <c r="H6" s="89" t="b">
        <v>1</v>
      </c>
      <c r="I6" s="91"/>
      <c r="J6" s="72">
        <f t="shared" si="0"/>
        <v>20.487680975361954</v>
      </c>
    </row>
    <row r="7" spans="1:11" x14ac:dyDescent="0.45">
      <c r="A7" s="207"/>
      <c r="B7" s="96" t="s">
        <v>342</v>
      </c>
      <c r="C7" s="96"/>
      <c r="D7" s="96" t="s">
        <v>354</v>
      </c>
      <c r="E7" s="72">
        <v>720.63300000000004</v>
      </c>
      <c r="F7" s="89" t="b">
        <v>1</v>
      </c>
      <c r="G7" s="90">
        <f t="shared" si="1"/>
        <v>74.933999999999997</v>
      </c>
      <c r="H7" s="89" t="b">
        <v>1</v>
      </c>
      <c r="I7" s="91"/>
      <c r="J7" s="72">
        <f t="shared" si="0"/>
        <v>20.207442214884431</v>
      </c>
    </row>
    <row r="8" spans="1:11" x14ac:dyDescent="0.45">
      <c r="A8" s="207"/>
      <c r="B8" s="96" t="s">
        <v>343</v>
      </c>
      <c r="C8" s="96"/>
      <c r="D8" s="96" t="s">
        <v>355</v>
      </c>
      <c r="E8" s="72">
        <f>649.209 + 150</f>
        <v>799.20899999999995</v>
      </c>
      <c r="F8" s="89" t="b">
        <v>1</v>
      </c>
      <c r="G8" s="90">
        <f t="shared" si="1"/>
        <v>74.933999999999997</v>
      </c>
      <c r="H8" s="89" t="b">
        <v>1</v>
      </c>
      <c r="I8" s="91"/>
      <c r="J8" s="72">
        <f t="shared" si="0"/>
        <v>22.203276606553214</v>
      </c>
    </row>
    <row r="9" spans="1:11" x14ac:dyDescent="0.45">
      <c r="A9" s="209"/>
      <c r="B9" s="100" t="s">
        <v>344</v>
      </c>
      <c r="C9" s="100"/>
      <c r="D9" s="100" t="s">
        <v>356</v>
      </c>
      <c r="E9" s="72">
        <v>827.577</v>
      </c>
      <c r="F9" s="89" t="b">
        <v>1</v>
      </c>
      <c r="G9" s="90">
        <f t="shared" si="1"/>
        <v>74.933999999999997</v>
      </c>
      <c r="H9" s="89" t="b">
        <v>1</v>
      </c>
      <c r="I9" s="91"/>
      <c r="J9" s="72">
        <f t="shared" si="0"/>
        <v>22.923825247650495</v>
      </c>
    </row>
    <row r="10" spans="1:11" x14ac:dyDescent="0.45">
      <c r="A10" s="202" t="s">
        <v>336</v>
      </c>
      <c r="B10" s="96" t="s">
        <v>345</v>
      </c>
      <c r="C10" s="96"/>
      <c r="D10" s="96" t="s">
        <v>357</v>
      </c>
      <c r="E10" s="72">
        <v>806.47</v>
      </c>
      <c r="F10" s="89" t="b">
        <v>1</v>
      </c>
      <c r="G10" s="90">
        <f t="shared" si="1"/>
        <v>74.933999999999997</v>
      </c>
      <c r="H10" s="89" t="b">
        <v>1</v>
      </c>
      <c r="I10" s="91"/>
      <c r="J10" s="72">
        <f t="shared" si="0"/>
        <v>22.387706375412751</v>
      </c>
    </row>
    <row r="11" spans="1:11" x14ac:dyDescent="0.45">
      <c r="A11" s="204"/>
      <c r="B11" s="96" t="s">
        <v>346</v>
      </c>
      <c r="C11" s="96"/>
      <c r="D11" s="96" t="s">
        <v>358</v>
      </c>
      <c r="E11" s="72">
        <f>676.942 + 19.282 + 32.279</f>
        <v>728.50300000000004</v>
      </c>
      <c r="F11" s="89" t="b">
        <v>1</v>
      </c>
      <c r="G11" s="90">
        <f t="shared" si="1"/>
        <v>74.933999999999997</v>
      </c>
      <c r="H11" s="89" t="b">
        <v>1</v>
      </c>
      <c r="I11" s="91"/>
      <c r="J11" s="72">
        <f t="shared" si="0"/>
        <v>20.407340614681232</v>
      </c>
    </row>
    <row r="12" spans="1:11" x14ac:dyDescent="0.45">
      <c r="A12" s="204"/>
      <c r="B12" s="96" t="s">
        <v>347</v>
      </c>
      <c r="C12" s="96"/>
      <c r="D12" s="96" t="s">
        <v>359</v>
      </c>
      <c r="E12" s="72">
        <v>647.54399999999998</v>
      </c>
      <c r="F12" s="89" t="b">
        <v>1</v>
      </c>
      <c r="G12" s="90">
        <f t="shared" si="1"/>
        <v>74.933999999999997</v>
      </c>
      <c r="H12" s="89" t="b">
        <v>1</v>
      </c>
      <c r="I12" s="91"/>
      <c r="J12" s="72">
        <f t="shared" si="0"/>
        <v>18.350977901955805</v>
      </c>
    </row>
    <row r="13" spans="1:11" x14ac:dyDescent="0.45">
      <c r="A13" s="204"/>
      <c r="B13" s="96" t="s">
        <v>348</v>
      </c>
      <c r="C13" s="96"/>
      <c r="D13" s="96" t="s">
        <v>360</v>
      </c>
      <c r="E13" s="72">
        <f>661.298 + 112.749</f>
        <v>774.04700000000003</v>
      </c>
      <c r="F13" s="89" t="b">
        <v>1</v>
      </c>
      <c r="G13" s="90">
        <f t="shared" si="1"/>
        <v>74.933999999999997</v>
      </c>
      <c r="H13" s="89" t="b">
        <v>1</v>
      </c>
      <c r="I13" s="91"/>
      <c r="J13" s="72">
        <f t="shared" si="0"/>
        <v>21.564160528321057</v>
      </c>
    </row>
    <row r="14" spans="1:11" x14ac:dyDescent="0.45">
      <c r="A14" s="204"/>
      <c r="B14" s="96" t="s">
        <v>349</v>
      </c>
      <c r="C14" s="96"/>
      <c r="D14" s="96" t="s">
        <v>361</v>
      </c>
      <c r="E14" s="72">
        <v>757.54600000000005</v>
      </c>
      <c r="F14" s="89" t="b">
        <v>1</v>
      </c>
      <c r="G14" s="90">
        <f t="shared" si="1"/>
        <v>74.933999999999997</v>
      </c>
      <c r="H14" s="89" t="b">
        <v>1</v>
      </c>
      <c r="I14" s="91"/>
      <c r="J14" s="72">
        <f t="shared" si="0"/>
        <v>21.145034290068583</v>
      </c>
    </row>
    <row r="15" spans="1:11" x14ac:dyDescent="0.45">
      <c r="A15" s="203"/>
      <c r="B15" s="96" t="s">
        <v>350</v>
      </c>
      <c r="C15" s="96"/>
      <c r="D15" s="96" t="s">
        <v>362</v>
      </c>
      <c r="E15" s="72">
        <v>787.053</v>
      </c>
      <c r="F15" s="89" t="b">
        <v>1</v>
      </c>
      <c r="G15" s="90">
        <f t="shared" si="1"/>
        <v>74.933999999999997</v>
      </c>
      <c r="H15" s="89" t="b">
        <v>1</v>
      </c>
      <c r="I15" s="91"/>
      <c r="J15" s="72">
        <f t="shared" si="0"/>
        <v>21.894513589027177</v>
      </c>
    </row>
    <row r="17" spans="1:6" ht="21" x14ac:dyDescent="0.65">
      <c r="A17" s="165" t="s">
        <v>325</v>
      </c>
      <c r="B17" s="165"/>
      <c r="C17" s="165"/>
      <c r="D17" s="165"/>
      <c r="E17" s="165"/>
      <c r="F17" s="165"/>
    </row>
    <row r="18" spans="1:6" x14ac:dyDescent="0.45">
      <c r="A18" s="73" t="s">
        <v>326</v>
      </c>
    </row>
    <row r="19" spans="1:6" x14ac:dyDescent="0.45">
      <c r="A19" t="s">
        <v>327</v>
      </c>
    </row>
    <row r="20" spans="1:6" x14ac:dyDescent="0.45">
      <c r="A20" t="s">
        <v>328</v>
      </c>
    </row>
    <row r="25" spans="1:6" x14ac:dyDescent="0.45">
      <c r="B25" t="s">
        <v>266</v>
      </c>
      <c r="E25" t="s">
        <v>268</v>
      </c>
    </row>
    <row r="26" spans="1:6" x14ac:dyDescent="0.45">
      <c r="A26" t="s">
        <v>267</v>
      </c>
      <c r="B26">
        <v>1000</v>
      </c>
      <c r="E26">
        <f>(1/B26)*1000000</f>
        <v>1000</v>
      </c>
    </row>
    <row r="27" spans="1:6" x14ac:dyDescent="0.45">
      <c r="A27" t="s">
        <v>285</v>
      </c>
      <c r="B27">
        <v>26</v>
      </c>
    </row>
    <row r="28" spans="1:6" x14ac:dyDescent="0.45">
      <c r="A28" t="s">
        <v>286</v>
      </c>
      <c r="B28">
        <v>32</v>
      </c>
    </row>
    <row r="29" spans="1:6" x14ac:dyDescent="0.45">
      <c r="A29" t="s">
        <v>287</v>
      </c>
      <c r="B29">
        <v>25</v>
      </c>
    </row>
    <row r="30" spans="1:6" x14ac:dyDescent="0.45">
      <c r="A30" t="s">
        <v>289</v>
      </c>
      <c r="B30">
        <v>50</v>
      </c>
    </row>
    <row r="31" spans="1:6" x14ac:dyDescent="0.45">
      <c r="A31" t="s">
        <v>290</v>
      </c>
      <c r="B31">
        <v>50</v>
      </c>
    </row>
    <row r="32" spans="1:6" x14ac:dyDescent="0.45">
      <c r="B32">
        <v>5</v>
      </c>
    </row>
    <row r="33" spans="1:6" x14ac:dyDescent="0.45">
      <c r="B33" s="74" t="s">
        <v>277</v>
      </c>
      <c r="C33" s="74"/>
      <c r="D33" s="74"/>
      <c r="E33" s="67">
        <f>(E26-B27-B28-B29-B30-B31)*0.01*B32</f>
        <v>40.85</v>
      </c>
    </row>
    <row r="34" spans="1:6" x14ac:dyDescent="0.45">
      <c r="B34" s="74" t="s">
        <v>275</v>
      </c>
      <c r="C34" s="74"/>
      <c r="D34" s="74"/>
      <c r="E34" s="79">
        <f>(E33*299792458*10^3)/(10^12)</f>
        <v>12.246521909300002</v>
      </c>
    </row>
    <row r="35" spans="1:6" x14ac:dyDescent="0.45">
      <c r="B35" s="74" t="s">
        <v>276</v>
      </c>
      <c r="C35" s="74"/>
      <c r="D35" s="74"/>
      <c r="E35" s="67">
        <f>E34*39.37</f>
        <v>482.14556756914106</v>
      </c>
      <c r="F35" s="73" t="s">
        <v>291</v>
      </c>
    </row>
    <row r="37" spans="1:6" ht="21" x14ac:dyDescent="0.65">
      <c r="A37" s="97" t="s">
        <v>330</v>
      </c>
    </row>
  </sheetData>
  <mergeCells count="4">
    <mergeCell ref="A17:F17"/>
    <mergeCell ref="A2:A3"/>
    <mergeCell ref="A4:A9"/>
    <mergeCell ref="A10:A15"/>
  </mergeCells>
  <phoneticPr fontId="16" type="noConversion"/>
  <conditionalFormatting sqref="G2:G15">
    <cfRule type="expression" dxfId="2" priority="2">
      <formula xml:space="preserve"> $F2:$F15 = TRUE</formula>
    </cfRule>
  </conditionalFormatting>
  <conditionalFormatting sqref="I2:I15">
    <cfRule type="expression" dxfId="1" priority="1">
      <formula xml:space="preserve"> $H2:$H15 = TRUE</formula>
    </cfRule>
  </conditionalFormatting>
  <conditionalFormatting sqref="J2:J15">
    <cfRule type="colorScale" priority="12">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7CCE-0D13-429D-B42A-1AF758D1D2BB}">
  <dimension ref="A1:J9"/>
  <sheetViews>
    <sheetView zoomScale="89" zoomScaleNormal="66" workbookViewId="0">
      <selection activeCell="G12" sqref="G12"/>
    </sheetView>
  </sheetViews>
  <sheetFormatPr defaultRowHeight="14.25" x14ac:dyDescent="0.45"/>
  <cols>
    <col min="1" max="1" width="16.3984375" customWidth="1"/>
    <col min="2" max="2" width="18.73046875" customWidth="1"/>
    <col min="3" max="3" width="17.3984375" customWidth="1"/>
    <col min="4" max="4" width="36" customWidth="1"/>
    <col min="5" max="6" width="16.6640625" customWidth="1"/>
    <col min="7" max="7" width="19" customWidth="1"/>
    <col min="8" max="9" width="20.19921875" customWidth="1"/>
    <col min="10" max="10" width="33.33203125" customWidth="1"/>
  </cols>
  <sheetData>
    <row r="1" spans="1:10" x14ac:dyDescent="0.45">
      <c r="A1" s="70"/>
      <c r="B1" s="68" t="s">
        <v>142</v>
      </c>
      <c r="C1" s="69" t="s">
        <v>0</v>
      </c>
      <c r="D1" s="71" t="s">
        <v>279</v>
      </c>
      <c r="E1" s="71" t="s">
        <v>404</v>
      </c>
      <c r="F1" s="71" t="s">
        <v>384</v>
      </c>
      <c r="G1" s="71" t="s">
        <v>440</v>
      </c>
      <c r="H1" s="71" t="s">
        <v>324</v>
      </c>
      <c r="I1" s="83" t="s">
        <v>281</v>
      </c>
      <c r="J1" s="71" t="s">
        <v>282</v>
      </c>
    </row>
    <row r="2" spans="1:10" ht="21.85" customHeight="1" x14ac:dyDescent="0.45">
      <c r="A2" s="202" t="s">
        <v>227</v>
      </c>
      <c r="B2" s="168" t="s">
        <v>397</v>
      </c>
      <c r="C2" s="72" t="s">
        <v>405</v>
      </c>
      <c r="D2" s="114">
        <v>276.64</v>
      </c>
      <c r="E2" s="173" t="b">
        <v>1</v>
      </c>
      <c r="F2" s="170">
        <f>VIA_L1_L12</f>
        <v>74.933999999999997</v>
      </c>
      <c r="G2" s="168" t="str">
        <f>_xlfn.CONCAT(IF(OR(NET_NAME_LVDS="NA",D:D=" "),"NA",(($D2+$D3))+3.5+IF(E2=FALSE,0,$F2))," mils")</f>
        <v>562.416 mils</v>
      </c>
      <c r="H2" s="80"/>
      <c r="I2" s="84"/>
      <c r="J2" s="82"/>
    </row>
    <row r="3" spans="1:10" ht="21.85" customHeight="1" x14ac:dyDescent="0.45">
      <c r="A3" s="204"/>
      <c r="B3" s="163"/>
      <c r="C3" s="72" t="s">
        <v>401</v>
      </c>
      <c r="D3" s="114">
        <v>207.34200000000001</v>
      </c>
      <c r="E3" s="174"/>
      <c r="F3" s="211"/>
      <c r="G3" s="163"/>
      <c r="H3" s="80"/>
      <c r="I3" s="84"/>
      <c r="J3" s="82"/>
    </row>
    <row r="4" spans="1:10" ht="21.85" customHeight="1" x14ac:dyDescent="0.45">
      <c r="A4" s="204"/>
      <c r="B4" s="168" t="s">
        <v>398</v>
      </c>
      <c r="C4" s="72" t="s">
        <v>406</v>
      </c>
      <c r="D4" s="114">
        <v>240.80699999999999</v>
      </c>
      <c r="E4" s="173" t="b">
        <v>1</v>
      </c>
      <c r="F4" s="170">
        <f>VIA_L1_L12</f>
        <v>74.933999999999997</v>
      </c>
      <c r="G4" s="168" t="str">
        <f>_xlfn.CONCAT(IF(OR(NET_NAME_LVDS="NA",D:D=" "),"NA",(($D4+$D5))+3.5+IF(E4=FALSE,0,$F4))," mils")</f>
        <v>557.398 mils</v>
      </c>
      <c r="H4" s="80"/>
      <c r="I4" s="94"/>
      <c r="J4" s="82"/>
    </row>
    <row r="5" spans="1:10" ht="21.85" customHeight="1" x14ac:dyDescent="0.45">
      <c r="A5" s="203"/>
      <c r="B5" s="163"/>
      <c r="C5" s="72" t="s">
        <v>402</v>
      </c>
      <c r="D5" s="114">
        <v>238.15700000000001</v>
      </c>
      <c r="E5" s="174"/>
      <c r="F5" s="211"/>
      <c r="G5" s="163"/>
      <c r="H5" s="80"/>
      <c r="I5" s="94"/>
      <c r="J5" s="82"/>
    </row>
    <row r="6" spans="1:10" ht="21.85" customHeight="1" x14ac:dyDescent="0.45">
      <c r="A6" s="210" t="s">
        <v>228</v>
      </c>
      <c r="B6" s="168" t="s">
        <v>399</v>
      </c>
      <c r="C6" s="72" t="s">
        <v>399</v>
      </c>
      <c r="D6" s="114">
        <f>236.651+35</f>
        <v>271.65100000000001</v>
      </c>
      <c r="E6" s="173" t="b">
        <v>1</v>
      </c>
      <c r="F6" s="170">
        <f>VIA_L1_L12</f>
        <v>74.933999999999997</v>
      </c>
      <c r="G6" s="168" t="str">
        <f>_xlfn.CONCAT(IF(OR(NET_NAME_LVDS="NA",D:D=" "),"NA",(($D6+$D7))+3.5+IF(E6=FALSE,0,$F6))," mils")</f>
        <v>561.213 mils</v>
      </c>
      <c r="H6" s="80"/>
      <c r="I6" s="94"/>
      <c r="J6" s="82"/>
    </row>
    <row r="7" spans="1:10" ht="21.85" customHeight="1" x14ac:dyDescent="0.45">
      <c r="A7" s="210"/>
      <c r="B7" s="163"/>
      <c r="C7" s="72" t="s">
        <v>403</v>
      </c>
      <c r="D7" s="114">
        <v>211.12799999999999</v>
      </c>
      <c r="E7" s="174"/>
      <c r="F7" s="211"/>
      <c r="G7" s="163"/>
      <c r="H7" s="80"/>
      <c r="I7" s="94"/>
      <c r="J7" s="82"/>
    </row>
    <row r="8" spans="1:10" ht="21.85" customHeight="1" x14ac:dyDescent="0.45">
      <c r="A8" s="210"/>
      <c r="B8" s="168" t="s">
        <v>400</v>
      </c>
      <c r="C8" s="72" t="s">
        <v>400</v>
      </c>
      <c r="D8" s="114">
        <v>245.85</v>
      </c>
      <c r="E8" s="173" t="b">
        <v>1</v>
      </c>
      <c r="F8" s="170">
        <f>VIA_L1_L12</f>
        <v>74.933999999999997</v>
      </c>
      <c r="G8" s="168" t="str">
        <f>_xlfn.CONCAT(IF(OR(NET_NAME_LVDS="NA",D:D=" "),"NA",(($D8+$D9))+3.5+IF(E8=FALSE,0,$F8))," mils")</f>
        <v>561.54 mils</v>
      </c>
      <c r="H8" s="80"/>
      <c r="I8" s="94"/>
      <c r="J8" s="82"/>
    </row>
    <row r="9" spans="1:10" ht="21.85" customHeight="1" x14ac:dyDescent="0.45">
      <c r="A9" s="210"/>
      <c r="B9" s="163"/>
      <c r="C9" s="72" t="s">
        <v>407</v>
      </c>
      <c r="D9" s="114">
        <v>237.256</v>
      </c>
      <c r="E9" s="174"/>
      <c r="F9" s="211"/>
      <c r="G9" s="163"/>
      <c r="H9" s="80"/>
      <c r="I9" s="94"/>
      <c r="J9" s="82"/>
    </row>
  </sheetData>
  <mergeCells count="18">
    <mergeCell ref="E6:E7"/>
    <mergeCell ref="E8:E9"/>
    <mergeCell ref="G8:G9"/>
    <mergeCell ref="G6:G7"/>
    <mergeCell ref="G4:G5"/>
    <mergeCell ref="G2:G3"/>
    <mergeCell ref="A6:A9"/>
    <mergeCell ref="B2:B3"/>
    <mergeCell ref="B4:B5"/>
    <mergeCell ref="A2:A5"/>
    <mergeCell ref="B6:B7"/>
    <mergeCell ref="B8:B9"/>
    <mergeCell ref="F2:F3"/>
    <mergeCell ref="F4:F5"/>
    <mergeCell ref="F6:F7"/>
    <mergeCell ref="F8:F9"/>
    <mergeCell ref="E2:E3"/>
    <mergeCell ref="E4:E5"/>
  </mergeCells>
  <conditionalFormatting sqref="F2 F4 F6 F8">
    <cfRule type="expression" dxfId="0" priority="2">
      <formula>$E2:$E9 = TRUE</formula>
    </cfRule>
  </conditionalFormatting>
  <conditionalFormatting sqref="G4 G2 G6 G8">
    <cfRule type="colorScale" priority="230">
      <colorScale>
        <cfvo type="min"/>
        <cfvo type="percentile" val="50"/>
        <cfvo type="max"/>
        <color rgb="FFF8696B"/>
        <color rgb="FFFFEB84"/>
        <color rgb="FF63BE7B"/>
      </colorScale>
    </cfRule>
  </conditionalFormatting>
  <conditionalFormatting sqref="G2:G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BD73F-996D-4C63-A454-6676E92566FE}">
  <dimension ref="A1"/>
  <sheetViews>
    <sheetView zoomScale="57" workbookViewId="0"/>
  </sheetViews>
  <sheetFormatPr defaultRowHeight="14.25" x14ac:dyDescent="0.4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
  <sheetViews>
    <sheetView workbookViewId="0"/>
  </sheetViews>
  <sheetFormatPr defaultRowHeight="14.25" x14ac:dyDescent="0.45"/>
  <sheetData/>
  <pageMargins left="0.7" right="0.7" top="0.75" bottom="0.75" header="0.3" footer="0.3"/>
  <pageSetup paperSize="9" orientation="portrait" r:id="rId1"/>
  <headerFooter>
    <oddFooter>&amp;R&amp;1#&amp;"Arial"&amp;12&amp;KFF0000ST Restricted</oddFooter>
  </headerFooter>
  <customProperties>
    <customPr name="DCFIdentifier" r:id="rId2"/>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heetViews>
  <sheetFormatPr defaultRowHeight="14.25" x14ac:dyDescent="0.45"/>
  <sheetData>
    <row r="1" spans="1:7" x14ac:dyDescent="0.45">
      <c r="A1" t="s">
        <v>1</v>
      </c>
      <c r="B1" t="s">
        <v>2</v>
      </c>
      <c r="C1" t="s">
        <v>3</v>
      </c>
      <c r="D1" t="s">
        <v>4</v>
      </c>
      <c r="E1" t="s">
        <v>5</v>
      </c>
      <c r="F1" t="s">
        <v>6</v>
      </c>
      <c r="G1" t="s">
        <v>7</v>
      </c>
    </row>
    <row r="2" spans="1:7" x14ac:dyDescent="0.45">
      <c r="A2" t="s">
        <v>8</v>
      </c>
      <c r="B2" t="s">
        <v>9</v>
      </c>
      <c r="C2" t="s">
        <v>10</v>
      </c>
      <c r="D2" t="s">
        <v>11</v>
      </c>
      <c r="E2" t="s">
        <v>12</v>
      </c>
      <c r="F2">
        <v>17</v>
      </c>
      <c r="G2" t="s">
        <v>13</v>
      </c>
    </row>
    <row r="3" spans="1:7" x14ac:dyDescent="0.45">
      <c r="A3" t="s">
        <v>35</v>
      </c>
      <c r="B3" t="s">
        <v>36</v>
      </c>
      <c r="C3" t="s">
        <v>37</v>
      </c>
      <c r="D3" t="s">
        <v>38</v>
      </c>
      <c r="E3" t="s">
        <v>39</v>
      </c>
      <c r="F3">
        <v>14</v>
      </c>
      <c r="G3" t="s">
        <v>40</v>
      </c>
    </row>
    <row r="4" spans="1:7" x14ac:dyDescent="0.45">
      <c r="A4" t="s">
        <v>46</v>
      </c>
      <c r="B4" t="s">
        <v>47</v>
      </c>
      <c r="C4" t="s">
        <v>48</v>
      </c>
      <c r="D4" t="s">
        <v>49</v>
      </c>
      <c r="E4" t="s">
        <v>50</v>
      </c>
      <c r="F4">
        <v>5</v>
      </c>
      <c r="G4" t="s">
        <v>51</v>
      </c>
    </row>
    <row r="5" spans="1:7" x14ac:dyDescent="0.45">
      <c r="A5" t="s">
        <v>46</v>
      </c>
      <c r="B5" t="s">
        <v>137</v>
      </c>
      <c r="C5" t="s">
        <v>138</v>
      </c>
      <c r="D5" t="s">
        <v>139</v>
      </c>
      <c r="E5" t="s">
        <v>140</v>
      </c>
      <c r="F5">
        <v>5</v>
      </c>
      <c r="G5" t="s">
        <v>141</v>
      </c>
    </row>
  </sheetData>
  <pageMargins left="0.7" right="0.7" top="0.75" bottom="0.75" header="0.3" footer="0.3"/>
  <pageSetup paperSize="9" orientation="portrait" r:id="rId1"/>
  <headerFooter>
    <oddFooter>&amp;R&amp;1#&amp;"Arial"&amp;12&amp;KFF0000ST Restricted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35</vt:i4>
      </vt:variant>
    </vt:vector>
  </HeadingPairs>
  <TitlesOfParts>
    <vt:vector size="44" baseType="lpstr">
      <vt:lpstr>Info</vt:lpstr>
      <vt:lpstr>LPDDR4</vt:lpstr>
      <vt:lpstr>LVDS</vt:lpstr>
      <vt:lpstr>SDMMC</vt:lpstr>
      <vt:lpstr>USB</vt:lpstr>
      <vt:lpstr>ETHERNET</vt:lpstr>
      <vt:lpstr>DSI</vt:lpstr>
      <vt:lpstr>PCIe</vt:lpstr>
      <vt:lpstr>Classified as UnClassified</vt:lpstr>
      <vt:lpstr>LVDS!BACKPLANE_LENGTH_LVDS</vt:lpstr>
      <vt:lpstr>CLOCK_A_LENGHTS</vt:lpstr>
      <vt:lpstr>CLOCK_B_LENGHTS</vt:lpstr>
      <vt:lpstr>CONNECTOR_Z_OFFSET</vt:lpstr>
      <vt:lpstr>DQS0_A_LENGTHS</vt:lpstr>
      <vt:lpstr>DQS0_B_LENGTHS</vt:lpstr>
      <vt:lpstr>DQS1_A_LENGTHS</vt:lpstr>
      <vt:lpstr>DQS1_B_LENGTHS</vt:lpstr>
      <vt:lpstr>ETHERNET!ETHERNET_BACKPLANE_LENGTH</vt:lpstr>
      <vt:lpstr>ETHERNET_BALL_NAME</vt:lpstr>
      <vt:lpstr>ETHERNET!ETHERNET_NET_NAME</vt:lpstr>
      <vt:lpstr>ETHERNET!ETHERNET_SOM_LENGTH</vt:lpstr>
      <vt:lpstr>NET_NAME</vt:lpstr>
      <vt:lpstr>DSI!NET_NAME_LVDS</vt:lpstr>
      <vt:lpstr>ETHERNET!NET_NAME_LVDS</vt:lpstr>
      <vt:lpstr>LVDS!NET_NAME_LVDS</vt:lpstr>
      <vt:lpstr>USB!NET_NAME_LVDS</vt:lpstr>
      <vt:lpstr>PACKAGE_LENGTH</vt:lpstr>
      <vt:lpstr>DSI!PACKAGE_LENGTH_LVDS</vt:lpstr>
      <vt:lpstr>ETHERNET!PACKAGE_LENGTH_LVDS</vt:lpstr>
      <vt:lpstr>LVDS!PACKAGE_LENGTH_LVDS</vt:lpstr>
      <vt:lpstr>USB!PACKAGE_LENGTH_LVDS</vt:lpstr>
      <vt:lpstr>SDMMC_BALLNAME</vt:lpstr>
      <vt:lpstr>SDMMC_NET_NAME</vt:lpstr>
      <vt:lpstr>SDMMC!SDMMC_TRACE_LENGTH</vt:lpstr>
      <vt:lpstr>DSI!TOTAL_LVDS_LENGTH</vt:lpstr>
      <vt:lpstr>LVDS!TOTAL_LVDS_LENGTH</vt:lpstr>
      <vt:lpstr>USB!TOTAL_LVDS_LENGTH</vt:lpstr>
      <vt:lpstr>VIA_L1_L10</vt:lpstr>
      <vt:lpstr>VIA_L1_L12</vt:lpstr>
      <vt:lpstr>VIA_L1_L3</vt:lpstr>
      <vt:lpstr>VIA_L1_L4</vt:lpstr>
      <vt:lpstr>VIA_L1_L9</vt:lpstr>
      <vt:lpstr>VIA_L3_L4</vt:lpstr>
      <vt:lpstr>ETHERNET!VIA_OFFSET_ETHERNET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Webb</dc:creator>
  <cp:lastModifiedBy>Lucas Webb</cp:lastModifiedBy>
  <cp:lastPrinted>2014-01-28T11:06:07Z</cp:lastPrinted>
  <dcterms:created xsi:type="dcterms:W3CDTF">2013-10-18T18:25:14Z</dcterms:created>
  <dcterms:modified xsi:type="dcterms:W3CDTF">2025-10-29T06:04:22Z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add6c0-cfdb-4bb9-b90f-bf23b83aa6c0_Enabled">
    <vt:lpwstr>true</vt:lpwstr>
  </property>
  <property fmtid="{D5CDD505-2E9C-101B-9397-08002B2CF9AE}" pid="3" name="MSIP_Label_23add6c0-cfdb-4bb9-b90f-bf23b83aa6c0_SetDate">
    <vt:lpwstr>2023-08-25T13:55:57Z</vt:lpwstr>
  </property>
  <property fmtid="{D5CDD505-2E9C-101B-9397-08002B2CF9AE}" pid="4" name="MSIP_Label_23add6c0-cfdb-4bb9-b90f-bf23b83aa6c0_Method">
    <vt:lpwstr>Privileged</vt:lpwstr>
  </property>
  <property fmtid="{D5CDD505-2E9C-101B-9397-08002B2CF9AE}" pid="5" name="MSIP_Label_23add6c0-cfdb-4bb9-b90f-bf23b83aa6c0_Name">
    <vt:lpwstr>23add6c0-cfdb-4bb9-b90f-bf23b83aa6c0</vt:lpwstr>
  </property>
  <property fmtid="{D5CDD505-2E9C-101B-9397-08002B2CF9AE}" pid="6" name="MSIP_Label_23add6c0-cfdb-4bb9-b90f-bf23b83aa6c0_SiteId">
    <vt:lpwstr>75e027c9-20d5-47d5-b82f-77d7cd041e8f</vt:lpwstr>
  </property>
  <property fmtid="{D5CDD505-2E9C-101B-9397-08002B2CF9AE}" pid="7" name="MSIP_Label_23add6c0-cfdb-4bb9-b90f-bf23b83aa6c0_ActionId">
    <vt:lpwstr>e7de5612-ce81-4978-8f28-6a8a702db77e</vt:lpwstr>
  </property>
  <property fmtid="{D5CDD505-2E9C-101B-9397-08002B2CF9AE}" pid="8" name="MSIP_Label_23add6c0-cfdb-4bb9-b90f-bf23b83aa6c0_ContentBits">
    <vt:lpwstr>2</vt:lpwstr>
  </property>
</Properties>
</file>