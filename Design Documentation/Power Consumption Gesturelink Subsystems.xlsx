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Start up\Hardware\MCU\Power Management\"/>
    </mc:Choice>
  </mc:AlternateContent>
  <xr:revisionPtr revIDLastSave="0" documentId="13_ncr:1_{F67CEC33-689E-4FDC-9A19-9B05E19872DE}" xr6:coauthVersionLast="47" xr6:coauthVersionMax="47" xr10:uidLastSave="{00000000-0000-0000-0000-000000000000}"/>
  <bookViews>
    <workbookView xWindow="-98" yWindow="-98" windowWidth="19396" windowHeight="11475" activeTab="1" xr2:uid="{B677F2B2-8443-4FB3-AD2B-92A81058F9DB}"/>
  </bookViews>
  <sheets>
    <sheet name="Main Spreadsheet (absolute wors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13" i="1"/>
  <c r="F12" i="1"/>
  <c r="E14" i="1"/>
  <c r="F14" i="1"/>
  <c r="F21" i="1"/>
  <c r="F19" i="1"/>
  <c r="F18" i="1"/>
  <c r="F17" i="1"/>
  <c r="F16" i="1"/>
  <c r="F15" i="1"/>
  <c r="E15" i="1"/>
  <c r="E9" i="1"/>
  <c r="E10" i="1"/>
  <c r="F10" i="1" s="1"/>
  <c r="E11" i="1"/>
  <c r="E3" i="1"/>
  <c r="B28" i="1" l="1"/>
</calcChain>
</file>

<file path=xl/sharedStrings.xml><?xml version="1.0" encoding="utf-8"?>
<sst xmlns="http://schemas.openxmlformats.org/spreadsheetml/2006/main" count="126" uniqueCount="92">
  <si>
    <t>Power Consumption Gesturelink SoM</t>
  </si>
  <si>
    <t>Source</t>
  </si>
  <si>
    <t>Current consumption (mA)</t>
  </si>
  <si>
    <t>On Period</t>
  </si>
  <si>
    <t>Audio</t>
  </si>
  <si>
    <t>Component Name</t>
  </si>
  <si>
    <t>Purpose of Components</t>
  </si>
  <si>
    <t>LM4665</t>
  </si>
  <si>
    <t>ADAU1850</t>
  </si>
  <si>
    <t>Comments</t>
  </si>
  <si>
    <t>Periodic</t>
  </si>
  <si>
    <t>Audio Codec - Used to process audio information for speakers and microphones</t>
  </si>
  <si>
    <t>Power consumption is presuming enhanced mode @ IOVDD = 1V8</t>
  </si>
  <si>
    <t>ECS-TXO-3225MV-245.7-TR (option 1)</t>
  </si>
  <si>
    <t>All the time</t>
  </si>
  <si>
    <t>Reference frequency for audio codec modulation for DAC etc</t>
  </si>
  <si>
    <t>Original option - more stable temperature response @ 2.5ppm</t>
  </si>
  <si>
    <t>Less current consumption is desirable at the expense of more unstable temperature fluctuations</t>
  </si>
  <si>
    <t>ECS-2520MVLC-245.7-CN-TR (option 2)</t>
  </si>
  <si>
    <t>ICS-40638</t>
  </si>
  <si>
    <t>MEMS microphone</t>
  </si>
  <si>
    <t>AD8605ACBZ-REEL7</t>
  </si>
  <si>
    <t>Power Consumption (mW)</t>
  </si>
  <si>
    <t xml:space="preserve">Periodic </t>
  </si>
  <si>
    <t>Op amp for AC Active lowpass filter</t>
  </si>
  <si>
    <t>4 of these are present. Power consumption is going off positive supply</t>
  </si>
  <si>
    <t>700 (max)</t>
  </si>
  <si>
    <t>Audio opamp for speaker driving</t>
  </si>
  <si>
    <t>The calculation for max current consumption was under the presumption of max load conditions for input voltage at V_rms_max + quinescent current</t>
  </si>
  <si>
    <t>Volatile Storage</t>
  </si>
  <si>
    <t>Q6422PM3BDGVK-U (idle)</t>
  </si>
  <si>
    <t>Q6422PM3BDGVK-U (read)</t>
  </si>
  <si>
    <t>Q6422PM3BDGVK-U (write)</t>
  </si>
  <si>
    <t>Very Often</t>
  </si>
  <si>
    <t>Non volatile DDR storage for the MPU. Designed to be utilised for LP applications</t>
  </si>
  <si>
    <t>These different operating modes are for different operating modes of the DDR IC as the required current drastically changes for each operation.</t>
  </si>
  <si>
    <t>The MPU/CPU used for Gesturelink - native host used to run linux and do all computation.</t>
  </si>
  <si>
    <t>Computation</t>
  </si>
  <si>
    <t>xx</t>
  </si>
  <si>
    <t xml:space="preserve">Non-volatile storage </t>
  </si>
  <si>
    <t xml:space="preserve">EMMC64G-TY29-5B102 </t>
  </si>
  <si>
    <t xml:space="preserve">Non volatile eMMC storage used to store the Linux Kernel, Edge AI computation and more. </t>
  </si>
  <si>
    <t>Presuming HS400 eMMC standard at VCCQ = 1.8V and VDD  = 3V3</t>
  </si>
  <si>
    <t>Networking</t>
  </si>
  <si>
    <t>LBEE5PK2AE-564 (Rx)</t>
  </si>
  <si>
    <t>LBEE5PK2AE-564 (Tx)</t>
  </si>
  <si>
    <t xml:space="preserve">Wifi and Bluetooth Module used to communicate to LANs, allow for OTA updating, cloud computation, etc. </t>
  </si>
  <si>
    <t>Very often</t>
  </si>
  <si>
    <t>Wifi standard is not properly defined yet. Supply considerations are dependent on the wifi standard and will be reflected once properly defined</t>
  </si>
  <si>
    <t>Will be used for cross-glove communication, and therefore essential to have this operation working as much as possible.</t>
  </si>
  <si>
    <t>Power Management</t>
  </si>
  <si>
    <t>Essential power management IC used for powering Gesturelink</t>
  </si>
  <si>
    <t>STPMIC25x</t>
  </si>
  <si>
    <t>ISL91107IIAZ-T7A</t>
  </si>
  <si>
    <t>Boost stage to 5V from LiPo source</t>
  </si>
  <si>
    <t>Display</t>
  </si>
  <si>
    <t>LM27762DSST</t>
  </si>
  <si>
    <t>Inverting charge pump for audio analogue filtering</t>
  </si>
  <si>
    <t>RM69330</t>
  </si>
  <si>
    <t>AMOLED single chip driver</t>
  </si>
  <si>
    <t>apart of AMOLED assembly</t>
  </si>
  <si>
    <t xml:space="preserve">TMA525B </t>
  </si>
  <si>
    <t>Capacitive touch sensor module</t>
  </si>
  <si>
    <t xml:space="preserve">Worse case current consumption: </t>
  </si>
  <si>
    <t>*not including increased temperatures as well</t>
  </si>
  <si>
    <t>STM32MP257FAK3 (DDRPHY)</t>
  </si>
  <si>
    <t>STM32MP257FAK3 (ICORE)</t>
  </si>
  <si>
    <t>STM32MP257FAK3 (Ivddqddr)</t>
  </si>
  <si>
    <t xml:space="preserve">Current &amp; power required by DDRPHY </t>
  </si>
  <si>
    <t>Presumes worse case of 285mA during write. Read is 245mA and Idle is 160mA</t>
  </si>
  <si>
    <t xml:space="preserve">Current &amp; power required by Ivddqddr supply </t>
  </si>
  <si>
    <t>Presumes worse case current draw during write mode. Read mode is 150mA, and idle is 57.5mA</t>
  </si>
  <si>
    <t>Supply (VDDCORE) = 245mA, VDDCPU = 165mA, VDDGPU = 11.5, IDDA18 =  3.85mA. Presumption is run mode with ALL peripherals on (ie sleep mode will rectify this)</t>
  </si>
  <si>
    <t>worse case scenario with all peripherals running</t>
  </si>
  <si>
    <t>Non-sleep mode including</t>
  </si>
  <si>
    <t>Standby Modes</t>
  </si>
  <si>
    <t>High Level Overview of Operational Modes</t>
  </si>
  <si>
    <t>1)</t>
  </si>
  <si>
    <t>Audio Codec is idle and power AMP is off</t>
  </si>
  <si>
    <t>WIFI Module is idle</t>
  </si>
  <si>
    <t>MPU is still running (low peripherals)</t>
  </si>
  <si>
    <t>DRAM is still running</t>
  </si>
  <si>
    <t>2)</t>
  </si>
  <si>
    <t>LED Screen is on and usable as user interface</t>
  </si>
  <si>
    <t xml:space="preserve">Low Power Mode: User is going through settings, modes etc. </t>
  </si>
  <si>
    <t>Gesture Capture Mode</t>
  </si>
  <si>
    <t>Gesture capture IMUs are in performance mode</t>
  </si>
  <si>
    <t>Gesture capture peripherals and devices are in suspend mode (default state)</t>
  </si>
  <si>
    <t>Audio Codec and power amp are ON</t>
  </si>
  <si>
    <t>MPU re-enables some peripherals required for SPI daisy-chaining!</t>
  </si>
  <si>
    <t>STSAFE is off/idle</t>
  </si>
  <si>
    <t>eMMC is inactive/idle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</si>
</sst>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top"/>
    </xf>
    <xf numFmtId="0" fontId="1" fillId="3" borderId="0" xfId="0" applyFont="1" applyFill="1"/>
    <xf numFmtId="0" fontId="0" fillId="3" borderId="0" xfId="0" applyFill="1"/>
    <xf numFmtId="0" fontId="6" fillId="0" borderId="0" xfId="0" applyFont="1"/>
    <xf numFmtId="0" fontId="0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9924-7253-4D2A-802D-CCFD731F154A}">
  <dimension ref="A1:M40"/>
  <sheetViews>
    <sheetView topLeftCell="A32" zoomScale="71" zoomScaleNormal="100" workbookViewId="0">
      <selection activeCell="A36" sqref="A36"/>
    </sheetView>
  </sheetViews>
  <sheetFormatPr defaultRowHeight="14.25" x14ac:dyDescent="0.45"/>
  <cols>
    <col min="1" max="1" width="28.86328125" customWidth="1"/>
    <col min="2" max="2" width="22.265625" customWidth="1"/>
    <col min="3" max="3" width="13.3984375" customWidth="1"/>
    <col min="4" max="4" width="27.6640625" customWidth="1"/>
    <col min="5" max="5" width="25.73046875" style="3" customWidth="1"/>
    <col min="6" max="12" width="13.3984375" customWidth="1"/>
    <col min="13" max="13" width="12.53125" customWidth="1"/>
  </cols>
  <sheetData>
    <row r="1" spans="1:13" s="2" customFormat="1" ht="26.65" x14ac:dyDescent="0.8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3" x14ac:dyDescent="0.45">
      <c r="A2" s="27" t="s">
        <v>5</v>
      </c>
      <c r="B2" s="27"/>
      <c r="C2" s="27" t="s">
        <v>1</v>
      </c>
      <c r="D2" s="27"/>
      <c r="E2" s="1" t="s">
        <v>2</v>
      </c>
      <c r="F2" s="27" t="s">
        <v>22</v>
      </c>
      <c r="G2" s="27"/>
      <c r="H2" s="27" t="s">
        <v>3</v>
      </c>
      <c r="I2" s="27"/>
      <c r="J2" s="20" t="s">
        <v>6</v>
      </c>
      <c r="K2" s="20"/>
      <c r="L2" s="20" t="s">
        <v>9</v>
      </c>
      <c r="M2" s="20"/>
    </row>
    <row r="3" spans="1:13" s="6" customFormat="1" ht="57" customHeight="1" x14ac:dyDescent="0.45">
      <c r="A3" s="31" t="s">
        <v>8</v>
      </c>
      <c r="B3" s="29"/>
      <c r="C3" s="28" t="s">
        <v>4</v>
      </c>
      <c r="D3" s="29"/>
      <c r="E3" s="5">
        <f>1.916+6.007+0.024</f>
        <v>7.9470000000000001</v>
      </c>
      <c r="F3" s="28">
        <v>10.79</v>
      </c>
      <c r="G3" s="29"/>
      <c r="H3" s="28" t="s">
        <v>10</v>
      </c>
      <c r="I3" s="29"/>
      <c r="J3" s="25" t="s">
        <v>11</v>
      </c>
      <c r="K3" s="26"/>
      <c r="L3" s="25" t="s">
        <v>12</v>
      </c>
      <c r="M3" s="26"/>
    </row>
    <row r="4" spans="1:13" s="11" customFormat="1" ht="96.4" customHeight="1" x14ac:dyDescent="0.45">
      <c r="A4" s="21" t="s">
        <v>7</v>
      </c>
      <c r="B4" s="22"/>
      <c r="C4" s="24" t="s">
        <v>4</v>
      </c>
      <c r="D4" s="22"/>
      <c r="E4" s="9">
        <f>296 +14</f>
        <v>310</v>
      </c>
      <c r="F4" s="24" t="s">
        <v>26</v>
      </c>
      <c r="G4" s="22"/>
      <c r="H4" s="24" t="s">
        <v>10</v>
      </c>
      <c r="I4" s="22"/>
      <c r="J4" s="24" t="s">
        <v>27</v>
      </c>
      <c r="K4" s="22"/>
      <c r="L4" s="24" t="s">
        <v>28</v>
      </c>
      <c r="M4" s="22"/>
    </row>
    <row r="5" spans="1:13" x14ac:dyDescent="0.45">
      <c r="A5" s="18" t="s">
        <v>19</v>
      </c>
      <c r="B5" s="19"/>
      <c r="C5" s="20" t="s">
        <v>4</v>
      </c>
      <c r="D5" s="19"/>
      <c r="E5" s="3">
        <v>0.17</v>
      </c>
      <c r="F5" s="20">
        <v>0.56100000000000005</v>
      </c>
      <c r="G5" s="19"/>
      <c r="H5" s="20" t="s">
        <v>10</v>
      </c>
      <c r="I5" s="19"/>
      <c r="J5" s="20" t="s">
        <v>20</v>
      </c>
      <c r="K5" s="19"/>
      <c r="L5" s="20"/>
      <c r="M5" s="19"/>
    </row>
    <row r="6" spans="1:13" s="6" customFormat="1" ht="29.25" customHeight="1" x14ac:dyDescent="0.45">
      <c r="A6" s="23" t="s">
        <v>21</v>
      </c>
      <c r="B6" s="17"/>
      <c r="C6" s="16" t="s">
        <v>4</v>
      </c>
      <c r="D6" s="17"/>
      <c r="E6" s="8">
        <v>1</v>
      </c>
      <c r="F6" s="16">
        <v>3.3</v>
      </c>
      <c r="G6" s="17"/>
      <c r="H6" s="16" t="s">
        <v>23</v>
      </c>
      <c r="I6" s="17"/>
      <c r="J6" s="24" t="s">
        <v>24</v>
      </c>
      <c r="K6" s="22"/>
      <c r="L6" s="16" t="s">
        <v>25</v>
      </c>
      <c r="M6" s="17"/>
    </row>
    <row r="7" spans="1:13" s="6" customFormat="1" ht="49.9" customHeight="1" x14ac:dyDescent="0.45">
      <c r="A7" s="23" t="s">
        <v>13</v>
      </c>
      <c r="B7" s="17"/>
      <c r="C7" s="16" t="s">
        <v>4</v>
      </c>
      <c r="D7" s="17"/>
      <c r="E7" s="8">
        <v>6</v>
      </c>
      <c r="F7" s="16">
        <v>19.8</v>
      </c>
      <c r="G7" s="17"/>
      <c r="H7" s="16" t="s">
        <v>14</v>
      </c>
      <c r="I7" s="17"/>
      <c r="J7" s="24" t="s">
        <v>15</v>
      </c>
      <c r="K7" s="22"/>
      <c r="L7" s="24" t="s">
        <v>16</v>
      </c>
      <c r="M7" s="22"/>
    </row>
    <row r="8" spans="1:13" s="6" customFormat="1" ht="63" customHeight="1" x14ac:dyDescent="0.45">
      <c r="A8" s="23" t="s">
        <v>18</v>
      </c>
      <c r="B8" s="17"/>
      <c r="C8" s="16" t="s">
        <v>4</v>
      </c>
      <c r="D8" s="17"/>
      <c r="E8" s="8">
        <v>2.2000000000000002</v>
      </c>
      <c r="F8" s="16">
        <v>7.26</v>
      </c>
      <c r="G8" s="17"/>
      <c r="H8" s="16" t="s">
        <v>14</v>
      </c>
      <c r="I8" s="17"/>
      <c r="J8" s="24" t="s">
        <v>15</v>
      </c>
      <c r="K8" s="22"/>
      <c r="L8" s="24" t="s">
        <v>17</v>
      </c>
      <c r="M8" s="22"/>
    </row>
    <row r="9" spans="1:13" ht="24.4" customHeight="1" x14ac:dyDescent="0.45">
      <c r="A9" s="18" t="s">
        <v>30</v>
      </c>
      <c r="B9" s="19"/>
      <c r="C9" s="20" t="s">
        <v>29</v>
      </c>
      <c r="D9" s="19"/>
      <c r="E9" s="3">
        <f xml:space="preserve"> 2.4 + 14 +0.75</f>
        <v>17.149999999999999</v>
      </c>
      <c r="F9" s="20">
        <v>18.489999999999998</v>
      </c>
      <c r="G9" s="19"/>
      <c r="H9" s="20" t="s">
        <v>33</v>
      </c>
      <c r="I9" s="19"/>
      <c r="J9" s="14" t="s">
        <v>34</v>
      </c>
      <c r="K9" s="15"/>
      <c r="L9" s="14" t="s">
        <v>35</v>
      </c>
      <c r="M9" s="15"/>
    </row>
    <row r="10" spans="1:13" ht="24.4" customHeight="1" x14ac:dyDescent="0.45">
      <c r="A10" s="18" t="s">
        <v>31</v>
      </c>
      <c r="B10" s="19"/>
      <c r="C10" s="20" t="s">
        <v>29</v>
      </c>
      <c r="D10" s="19"/>
      <c r="E10" s="3">
        <f xml:space="preserve"> 94 + 205 +11</f>
        <v>310</v>
      </c>
      <c r="F10" s="20">
        <f>E10*1.1</f>
        <v>341</v>
      </c>
      <c r="G10" s="19"/>
      <c r="H10" s="20" t="s">
        <v>33</v>
      </c>
      <c r="I10" s="19"/>
      <c r="J10" s="14"/>
      <c r="K10" s="15"/>
      <c r="L10" s="14"/>
      <c r="M10" s="15"/>
    </row>
    <row r="11" spans="1:13" ht="24.4" customHeight="1" x14ac:dyDescent="0.45">
      <c r="A11" s="18" t="s">
        <v>32</v>
      </c>
      <c r="B11" s="19"/>
      <c r="C11" s="20" t="s">
        <v>29</v>
      </c>
      <c r="D11" s="19"/>
      <c r="E11" s="3">
        <f>160 + 11 + 0.75</f>
        <v>171.75</v>
      </c>
      <c r="F11" s="20">
        <v>188.46</v>
      </c>
      <c r="G11" s="19"/>
      <c r="H11" s="20" t="s">
        <v>33</v>
      </c>
      <c r="I11" s="19"/>
      <c r="J11" s="14"/>
      <c r="K11" s="15"/>
      <c r="L11" s="14"/>
      <c r="M11" s="15"/>
    </row>
    <row r="12" spans="1:13" ht="55.5" customHeight="1" x14ac:dyDescent="0.45">
      <c r="A12" s="16" t="s">
        <v>65</v>
      </c>
      <c r="B12" s="17"/>
      <c r="C12" s="18" t="s">
        <v>37</v>
      </c>
      <c r="D12" s="19"/>
      <c r="E12" s="3">
        <v>285</v>
      </c>
      <c r="F12" s="20">
        <f>E12*1.1</f>
        <v>313.5</v>
      </c>
      <c r="G12" s="19"/>
      <c r="H12" s="20" t="s">
        <v>33</v>
      </c>
      <c r="I12" s="19"/>
      <c r="J12" s="14" t="s">
        <v>68</v>
      </c>
      <c r="K12" s="15"/>
      <c r="L12" s="14" t="s">
        <v>69</v>
      </c>
      <c r="M12" s="15"/>
    </row>
    <row r="13" spans="1:13" ht="62.65" customHeight="1" x14ac:dyDescent="0.45">
      <c r="A13" s="16" t="s">
        <v>67</v>
      </c>
      <c r="B13" s="17"/>
      <c r="C13" s="18" t="s">
        <v>37</v>
      </c>
      <c r="D13" s="19"/>
      <c r="E13" s="3">
        <v>545</v>
      </c>
      <c r="F13" s="20">
        <f>E13*1.1</f>
        <v>599.5</v>
      </c>
      <c r="G13" s="19"/>
      <c r="H13" s="20" t="s">
        <v>33</v>
      </c>
      <c r="I13" s="19"/>
      <c r="J13" s="14" t="s">
        <v>70</v>
      </c>
      <c r="K13" s="15"/>
      <c r="L13" s="14" t="s">
        <v>71</v>
      </c>
      <c r="M13" s="15"/>
    </row>
    <row r="14" spans="1:13" s="6" customFormat="1" ht="206.25" customHeight="1" x14ac:dyDescent="0.45">
      <c r="A14" s="16" t="s">
        <v>66</v>
      </c>
      <c r="B14" s="17"/>
      <c r="C14" s="23" t="s">
        <v>37</v>
      </c>
      <c r="D14" s="17"/>
      <c r="E14" s="7">
        <f>245+165+11.5 + 3.85</f>
        <v>425.35</v>
      </c>
      <c r="F14" s="23">
        <f>245*0.8 + 165*0.8 + 11.5*0.8 + 1.8*3.85</f>
        <v>344.13</v>
      </c>
      <c r="G14" s="17"/>
      <c r="H14" s="23" t="s">
        <v>14</v>
      </c>
      <c r="I14" s="17"/>
      <c r="J14" s="24" t="s">
        <v>36</v>
      </c>
      <c r="K14" s="22"/>
      <c r="L14" s="24" t="s">
        <v>72</v>
      </c>
      <c r="M14" s="22"/>
    </row>
    <row r="15" spans="1:13" s="11" customFormat="1" ht="48.4" customHeight="1" x14ac:dyDescent="0.45">
      <c r="A15" s="24" t="s">
        <v>40</v>
      </c>
      <c r="B15" s="22"/>
      <c r="C15" s="21" t="s">
        <v>39</v>
      </c>
      <c r="D15" s="22"/>
      <c r="E15" s="10">
        <f>((152.7 + 94.2)+ 82.1 + 87.1)/2</f>
        <v>208.05</v>
      </c>
      <c r="F15" s="21">
        <f>((152.7*1.8 + 94.2*3.3)+ 82.1*1.8 + 87.1*3.3)/2</f>
        <v>510.46499999999997</v>
      </c>
      <c r="G15" s="22"/>
      <c r="H15" s="21" t="s">
        <v>10</v>
      </c>
      <c r="I15" s="22"/>
      <c r="J15" s="21" t="s">
        <v>41</v>
      </c>
      <c r="K15" s="22"/>
      <c r="L15" s="21" t="s">
        <v>42</v>
      </c>
      <c r="M15" s="22"/>
    </row>
    <row r="16" spans="1:13" s="11" customFormat="1" ht="72.400000000000006" customHeight="1" x14ac:dyDescent="0.45">
      <c r="A16" s="24" t="s">
        <v>45</v>
      </c>
      <c r="B16" s="22"/>
      <c r="C16" s="21" t="s">
        <v>43</v>
      </c>
      <c r="D16" s="22"/>
      <c r="E16" s="10">
        <v>350</v>
      </c>
      <c r="F16" s="21">
        <f>E16*3.3</f>
        <v>1155</v>
      </c>
      <c r="G16" s="22"/>
      <c r="H16" s="21" t="s">
        <v>10</v>
      </c>
      <c r="I16" s="22"/>
      <c r="J16" s="21" t="s">
        <v>46</v>
      </c>
      <c r="K16" s="22"/>
      <c r="L16" s="21" t="s">
        <v>48</v>
      </c>
      <c r="M16" s="22"/>
    </row>
    <row r="17" spans="1:13" s="11" customFormat="1" ht="72.400000000000006" customHeight="1" x14ac:dyDescent="0.45">
      <c r="A17" s="24" t="s">
        <v>44</v>
      </c>
      <c r="B17" s="22"/>
      <c r="C17" s="21" t="s">
        <v>43</v>
      </c>
      <c r="D17" s="22"/>
      <c r="E17" s="10">
        <v>55</v>
      </c>
      <c r="F17" s="21">
        <f>3.3*E17</f>
        <v>181.5</v>
      </c>
      <c r="G17" s="22"/>
      <c r="H17" s="21" t="s">
        <v>47</v>
      </c>
      <c r="I17" s="22"/>
      <c r="J17" s="21"/>
      <c r="K17" s="22"/>
      <c r="L17" s="21" t="s">
        <v>49</v>
      </c>
      <c r="M17" s="22"/>
    </row>
    <row r="18" spans="1:13" s="6" customFormat="1" ht="30.4" customHeight="1" x14ac:dyDescent="0.45">
      <c r="A18" s="16" t="s">
        <v>52</v>
      </c>
      <c r="B18" s="17"/>
      <c r="C18" s="23" t="s">
        <v>50</v>
      </c>
      <c r="D18" s="17"/>
      <c r="E18" s="7">
        <v>2</v>
      </c>
      <c r="F18" s="23">
        <f>3.3*E18</f>
        <v>6.6</v>
      </c>
      <c r="G18" s="17"/>
      <c r="H18" s="23" t="s">
        <v>14</v>
      </c>
      <c r="I18" s="17"/>
      <c r="J18" s="21" t="s">
        <v>51</v>
      </c>
      <c r="K18" s="22"/>
      <c r="L18" s="23"/>
      <c r="M18" s="17"/>
    </row>
    <row r="19" spans="1:13" ht="31.5" customHeight="1" x14ac:dyDescent="0.45">
      <c r="A19" s="20" t="s">
        <v>53</v>
      </c>
      <c r="B19" s="19"/>
      <c r="C19" s="18" t="s">
        <v>50</v>
      </c>
      <c r="D19" s="19"/>
      <c r="E19" s="4">
        <v>0.06</v>
      </c>
      <c r="F19" s="18">
        <f>3.7*E19</f>
        <v>0.222</v>
      </c>
      <c r="G19" s="19"/>
      <c r="H19" s="18" t="s">
        <v>14</v>
      </c>
      <c r="I19" s="19"/>
      <c r="J19" s="14" t="s">
        <v>54</v>
      </c>
      <c r="K19" s="15"/>
      <c r="L19" s="18"/>
      <c r="M19" s="19"/>
    </row>
    <row r="20" spans="1:13" ht="28.5" customHeight="1" x14ac:dyDescent="0.45">
      <c r="A20" s="20" t="s">
        <v>56</v>
      </c>
      <c r="B20" s="19"/>
      <c r="C20" s="18" t="s">
        <v>50</v>
      </c>
      <c r="D20" s="19"/>
      <c r="E20" s="4">
        <v>0.28999999999999998</v>
      </c>
      <c r="F20" s="18" t="s">
        <v>38</v>
      </c>
      <c r="G20" s="19"/>
      <c r="H20" s="18" t="s">
        <v>14</v>
      </c>
      <c r="I20" s="19"/>
      <c r="J20" s="14" t="s">
        <v>57</v>
      </c>
      <c r="K20" s="15"/>
      <c r="L20" s="18"/>
      <c r="M20" s="19"/>
    </row>
    <row r="21" spans="1:13" x14ac:dyDescent="0.45">
      <c r="A21" s="20" t="s">
        <v>58</v>
      </c>
      <c r="B21" s="19"/>
      <c r="C21" s="18" t="s">
        <v>55</v>
      </c>
      <c r="D21" s="19"/>
      <c r="E21" s="4">
        <v>0.18</v>
      </c>
      <c r="F21" s="18">
        <f>1.8*E21</f>
        <v>0.32400000000000001</v>
      </c>
      <c r="G21" s="19"/>
      <c r="H21" s="18" t="s">
        <v>14</v>
      </c>
      <c r="I21" s="19"/>
      <c r="J21" s="18" t="s">
        <v>59</v>
      </c>
      <c r="K21" s="19"/>
      <c r="L21" s="18" t="s">
        <v>60</v>
      </c>
      <c r="M21" s="19"/>
    </row>
    <row r="22" spans="1:13" x14ac:dyDescent="0.45">
      <c r="A22" s="20" t="s">
        <v>61</v>
      </c>
      <c r="B22" s="19"/>
      <c r="C22" s="18" t="s">
        <v>55</v>
      </c>
      <c r="D22" s="19"/>
      <c r="E22" s="4">
        <v>1.7</v>
      </c>
      <c r="F22" s="18">
        <v>5.6</v>
      </c>
      <c r="G22" s="19"/>
      <c r="H22" s="18" t="s">
        <v>14</v>
      </c>
      <c r="I22" s="19"/>
      <c r="J22" s="18" t="s">
        <v>62</v>
      </c>
      <c r="K22" s="19"/>
      <c r="L22" s="18" t="s">
        <v>60</v>
      </c>
      <c r="M22" s="19"/>
    </row>
    <row r="23" spans="1:13" x14ac:dyDescent="0.45">
      <c r="A23" s="20"/>
      <c r="B23" s="19"/>
      <c r="C23" s="18"/>
      <c r="D23" s="19"/>
      <c r="E23" s="4"/>
      <c r="F23" s="18"/>
      <c r="G23" s="19"/>
      <c r="H23" s="18"/>
      <c r="I23" s="19"/>
      <c r="J23" s="18"/>
      <c r="K23" s="19"/>
      <c r="L23" s="18"/>
      <c r="M23" s="19"/>
    </row>
    <row r="24" spans="1:13" x14ac:dyDescent="0.45">
      <c r="A24" s="20"/>
      <c r="B24" s="19"/>
      <c r="C24" s="18"/>
      <c r="D24" s="19"/>
      <c r="E24" s="4"/>
      <c r="F24" s="18"/>
      <c r="G24" s="19"/>
      <c r="H24" s="18"/>
      <c r="I24" s="19"/>
      <c r="J24" s="18"/>
      <c r="K24" s="19"/>
      <c r="L24" s="18"/>
      <c r="M24" s="19"/>
    </row>
    <row r="25" spans="1:13" x14ac:dyDescent="0.45">
      <c r="B25" s="12"/>
      <c r="C25" s="18"/>
      <c r="D25" s="19"/>
      <c r="E25" s="4"/>
      <c r="F25" s="18"/>
      <c r="G25" s="19"/>
      <c r="H25" s="18"/>
      <c r="I25" s="19"/>
      <c r="J25" s="18"/>
      <c r="K25" s="19"/>
      <c r="L25" s="18"/>
      <c r="M25" s="19"/>
    </row>
    <row r="26" spans="1:13" x14ac:dyDescent="0.45">
      <c r="B26" s="12"/>
      <c r="C26" s="18"/>
      <c r="D26" s="19"/>
      <c r="E26" s="4"/>
      <c r="F26" s="18"/>
      <c r="G26" s="19"/>
      <c r="H26" s="18"/>
      <c r="I26" s="19"/>
      <c r="J26" s="18"/>
      <c r="K26" s="19"/>
      <c r="L26" s="18"/>
      <c r="M26" s="19"/>
    </row>
    <row r="27" spans="1:13" x14ac:dyDescent="0.45">
      <c r="B27" s="12"/>
      <c r="C27" s="18"/>
      <c r="D27" s="19"/>
      <c r="E27" s="4"/>
      <c r="F27" s="18"/>
      <c r="G27" s="19"/>
      <c r="H27" s="18"/>
      <c r="I27" s="19"/>
      <c r="J27" s="18"/>
      <c r="K27" s="19"/>
      <c r="L27" s="18"/>
      <c r="M27" s="19"/>
    </row>
    <row r="28" spans="1:13" x14ac:dyDescent="0.45">
      <c r="A28" s="13" t="s">
        <v>63</v>
      </c>
      <c r="B28" s="12">
        <f>SUM(E18:E22)+E16+E14+SUM(E3:E8)+E10+E12+E13</f>
        <v>2246.8969999999999</v>
      </c>
      <c r="C28" s="18" t="s">
        <v>73</v>
      </c>
      <c r="D28" s="19"/>
      <c r="E28" s="4"/>
      <c r="F28" s="18"/>
      <c r="G28" s="19"/>
      <c r="H28" s="18"/>
      <c r="I28" s="19"/>
      <c r="J28" s="18"/>
      <c r="K28" s="19"/>
      <c r="L28" s="18"/>
      <c r="M28" s="19"/>
    </row>
    <row r="29" spans="1:13" x14ac:dyDescent="0.45">
      <c r="A29" t="s">
        <v>64</v>
      </c>
      <c r="B29" s="12"/>
      <c r="C29" s="18" t="s">
        <v>74</v>
      </c>
      <c r="D29" s="19"/>
      <c r="E29" s="4"/>
      <c r="F29" s="18"/>
      <c r="G29" s="19"/>
      <c r="H29" s="18"/>
      <c r="I29" s="19"/>
      <c r="J29" s="18"/>
      <c r="K29" s="19"/>
      <c r="L29" s="18"/>
      <c r="M29" s="19"/>
    </row>
    <row r="30" spans="1:13" x14ac:dyDescent="0.45">
      <c r="B30" s="12"/>
      <c r="C30" s="18"/>
      <c r="D30" s="19"/>
      <c r="E30" s="4"/>
      <c r="F30" s="18"/>
      <c r="G30" s="19"/>
      <c r="H30" s="18"/>
      <c r="I30" s="19"/>
      <c r="J30" s="18"/>
      <c r="K30" s="19"/>
      <c r="L30" s="18"/>
      <c r="M30" s="19"/>
    </row>
    <row r="31" spans="1:13" x14ac:dyDescent="0.45">
      <c r="B31" s="12"/>
      <c r="C31" s="18"/>
      <c r="D31" s="19"/>
      <c r="E31" s="4"/>
      <c r="F31" s="18"/>
      <c r="G31" s="19"/>
      <c r="H31" s="18"/>
      <c r="I31" s="19"/>
      <c r="J31" s="18"/>
      <c r="K31" s="19"/>
      <c r="L31" s="18"/>
      <c r="M31" s="19"/>
    </row>
    <row r="32" spans="1:13" x14ac:dyDescent="0.45">
      <c r="B32" s="12"/>
      <c r="C32" s="18"/>
      <c r="D32" s="19"/>
      <c r="E32" s="4"/>
      <c r="F32" s="18"/>
      <c r="G32" s="19"/>
      <c r="H32" s="18"/>
      <c r="I32" s="19"/>
      <c r="J32" s="18"/>
      <c r="K32" s="19"/>
      <c r="L32" s="18"/>
      <c r="M32" s="19"/>
    </row>
    <row r="33" spans="1:13" x14ac:dyDescent="0.45">
      <c r="B33" s="12"/>
      <c r="C33" s="18"/>
      <c r="D33" s="19"/>
      <c r="E33" s="4"/>
      <c r="F33" s="18"/>
      <c r="G33" s="19"/>
      <c r="H33" s="18"/>
      <c r="I33" s="19"/>
      <c r="J33" s="18"/>
      <c r="K33" s="19"/>
      <c r="L33" s="18"/>
      <c r="M33" s="19"/>
    </row>
    <row r="34" spans="1:13" x14ac:dyDescent="0.45">
      <c r="B34" s="12"/>
      <c r="C34" s="18"/>
      <c r="D34" s="19"/>
      <c r="E34" s="4"/>
      <c r="F34" s="18"/>
      <c r="G34" s="19"/>
      <c r="H34" s="18"/>
      <c r="I34" s="19"/>
      <c r="J34" s="18"/>
      <c r="K34" s="19"/>
      <c r="L34" s="18"/>
      <c r="M34" s="19"/>
    </row>
    <row r="35" spans="1:13" x14ac:dyDescent="0.45">
      <c r="B35" s="12"/>
      <c r="C35" s="18"/>
      <c r="D35" s="19"/>
      <c r="E35" s="4"/>
      <c r="F35" s="18"/>
      <c r="G35" s="19"/>
      <c r="H35" s="18"/>
      <c r="I35" s="19"/>
      <c r="J35" s="18"/>
      <c r="K35" s="19"/>
      <c r="L35" s="18"/>
      <c r="M35" s="19"/>
    </row>
    <row r="36" spans="1:13" ht="18" x14ac:dyDescent="0.55000000000000004">
      <c r="A36" s="33"/>
      <c r="B36" s="12"/>
      <c r="C36" s="18"/>
      <c r="D36" s="19"/>
      <c r="E36" s="4"/>
      <c r="F36" s="18"/>
      <c r="G36" s="19"/>
      <c r="H36" s="18"/>
      <c r="I36" s="19"/>
      <c r="J36" s="18"/>
      <c r="K36" s="19"/>
      <c r="L36" s="18"/>
      <c r="M36" s="19"/>
    </row>
    <row r="37" spans="1:13" x14ac:dyDescent="0.45">
      <c r="B37" s="12"/>
      <c r="C37" s="18"/>
      <c r="D37" s="19"/>
      <c r="E37" s="4"/>
      <c r="F37" s="18"/>
      <c r="G37" s="19"/>
      <c r="H37" s="18"/>
      <c r="I37" s="19"/>
      <c r="J37" s="18"/>
      <c r="K37" s="19"/>
      <c r="L37" s="18"/>
      <c r="M37" s="19"/>
    </row>
    <row r="38" spans="1:13" x14ac:dyDescent="0.45">
      <c r="B38" s="12"/>
      <c r="C38" s="18"/>
      <c r="D38" s="19"/>
      <c r="E38" s="4"/>
      <c r="F38" s="18"/>
      <c r="G38" s="19"/>
      <c r="H38" s="18"/>
      <c r="I38" s="19"/>
      <c r="J38" s="18"/>
      <c r="K38" s="19"/>
      <c r="L38" s="18"/>
      <c r="M38" s="19"/>
    </row>
    <row r="39" spans="1:13" x14ac:dyDescent="0.45">
      <c r="B39" s="12"/>
      <c r="C39" s="18"/>
      <c r="D39" s="19"/>
      <c r="E39" s="4"/>
      <c r="F39" s="18"/>
      <c r="G39" s="19"/>
      <c r="H39" s="18"/>
      <c r="I39" s="19"/>
      <c r="J39" s="18"/>
      <c r="K39" s="19"/>
      <c r="L39" s="18"/>
      <c r="M39" s="19"/>
    </row>
    <row r="40" spans="1:13" x14ac:dyDescent="0.45">
      <c r="B40" s="12"/>
      <c r="C40" s="18"/>
      <c r="D40" s="19"/>
      <c r="E40" s="4"/>
      <c r="F40" s="18"/>
      <c r="G40" s="19"/>
      <c r="H40" s="18"/>
      <c r="I40" s="19"/>
      <c r="J40" s="18"/>
      <c r="K40" s="19"/>
      <c r="L40" s="18"/>
      <c r="M40" s="19"/>
    </row>
  </sheetData>
  <mergeCells count="214">
    <mergeCell ref="A6:B6"/>
    <mergeCell ref="A7:B7"/>
    <mergeCell ref="A8:B8"/>
    <mergeCell ref="A1:J1"/>
    <mergeCell ref="A2:B2"/>
    <mergeCell ref="C2:D2"/>
    <mergeCell ref="A3:B3"/>
    <mergeCell ref="F2:G2"/>
    <mergeCell ref="F3:G3"/>
    <mergeCell ref="C7:D7"/>
    <mergeCell ref="C8:D8"/>
    <mergeCell ref="J2:K2"/>
    <mergeCell ref="A22:B22"/>
    <mergeCell ref="A23:B23"/>
    <mergeCell ref="A24:B24"/>
    <mergeCell ref="C3:D3"/>
    <mergeCell ref="C4:D4"/>
    <mergeCell ref="C5:D5"/>
    <mergeCell ref="C6:D6"/>
    <mergeCell ref="A17:B17"/>
    <mergeCell ref="A18:B18"/>
    <mergeCell ref="A19:B19"/>
    <mergeCell ref="A20:B20"/>
    <mergeCell ref="A21:B21"/>
    <mergeCell ref="A9:B9"/>
    <mergeCell ref="A10:B10"/>
    <mergeCell ref="A11:B11"/>
    <mergeCell ref="A14:B14"/>
    <mergeCell ref="A15:B15"/>
    <mergeCell ref="A16:B16"/>
    <mergeCell ref="A4:B4"/>
    <mergeCell ref="A5:B5"/>
    <mergeCell ref="C9:D9"/>
    <mergeCell ref="C10:D10"/>
    <mergeCell ref="C11:D11"/>
    <mergeCell ref="C18:D18"/>
    <mergeCell ref="C19:D19"/>
    <mergeCell ref="C14:D14"/>
    <mergeCell ref="C15:D15"/>
    <mergeCell ref="C16:D16"/>
    <mergeCell ref="F9:G9"/>
    <mergeCell ref="F10:G10"/>
    <mergeCell ref="F11:G11"/>
    <mergeCell ref="H2:I2"/>
    <mergeCell ref="H3:I3"/>
    <mergeCell ref="H4:I4"/>
    <mergeCell ref="H5:I5"/>
    <mergeCell ref="H6:I6"/>
    <mergeCell ref="H7:I7"/>
    <mergeCell ref="F4:G4"/>
    <mergeCell ref="F5:G5"/>
    <mergeCell ref="F6:G6"/>
    <mergeCell ref="F7:G7"/>
    <mergeCell ref="F8:G8"/>
    <mergeCell ref="H8:I8"/>
    <mergeCell ref="H9:I9"/>
    <mergeCell ref="H10:I10"/>
    <mergeCell ref="H11:I11"/>
    <mergeCell ref="F18:G18"/>
    <mergeCell ref="L2:M2"/>
    <mergeCell ref="J3:K3"/>
    <mergeCell ref="J4:K4"/>
    <mergeCell ref="J5:K5"/>
    <mergeCell ref="J6:K6"/>
    <mergeCell ref="L8:M8"/>
    <mergeCell ref="J9:K11"/>
    <mergeCell ref="L9:M11"/>
    <mergeCell ref="L3:M3"/>
    <mergeCell ref="L4:M4"/>
    <mergeCell ref="L5:M5"/>
    <mergeCell ref="L6:M6"/>
    <mergeCell ref="L7:M7"/>
    <mergeCell ref="J7:K7"/>
    <mergeCell ref="J8:K8"/>
    <mergeCell ref="L14:M14"/>
    <mergeCell ref="F14:G14"/>
    <mergeCell ref="H14:I14"/>
    <mergeCell ref="C25:D25"/>
    <mergeCell ref="C26:D26"/>
    <mergeCell ref="C27:D27"/>
    <mergeCell ref="F20:G20"/>
    <mergeCell ref="F21:G21"/>
    <mergeCell ref="F22:G22"/>
    <mergeCell ref="F23:G23"/>
    <mergeCell ref="J14:K14"/>
    <mergeCell ref="C22:D22"/>
    <mergeCell ref="C23:D23"/>
    <mergeCell ref="C24:D24"/>
    <mergeCell ref="C20:D20"/>
    <mergeCell ref="C21:D21"/>
    <mergeCell ref="C17:D17"/>
    <mergeCell ref="F15:G15"/>
    <mergeCell ref="H15:I15"/>
    <mergeCell ref="J15:K15"/>
    <mergeCell ref="L15:M15"/>
    <mergeCell ref="F16:G16"/>
    <mergeCell ref="F17:G17"/>
    <mergeCell ref="C40:D40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F36:G36"/>
    <mergeCell ref="F37:G37"/>
    <mergeCell ref="F38:G38"/>
    <mergeCell ref="F39:G39"/>
    <mergeCell ref="F40:G40"/>
    <mergeCell ref="F34:G34"/>
    <mergeCell ref="F35:G35"/>
    <mergeCell ref="H38:I38"/>
    <mergeCell ref="H39:I39"/>
    <mergeCell ref="H35:I35"/>
    <mergeCell ref="H36:I36"/>
    <mergeCell ref="H37:I37"/>
    <mergeCell ref="H16:I16"/>
    <mergeCell ref="H17:I17"/>
    <mergeCell ref="H18:I18"/>
    <mergeCell ref="H19:I1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  <mergeCell ref="F29:G29"/>
    <mergeCell ref="F19:G19"/>
    <mergeCell ref="H24:I24"/>
    <mergeCell ref="H25:I25"/>
    <mergeCell ref="J20:K20"/>
    <mergeCell ref="J21:K21"/>
    <mergeCell ref="J22:K22"/>
    <mergeCell ref="H32:I32"/>
    <mergeCell ref="H33:I33"/>
    <mergeCell ref="H34:I34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J37:K37"/>
    <mergeCell ref="J38:K38"/>
    <mergeCell ref="J39:K39"/>
    <mergeCell ref="L16:M16"/>
    <mergeCell ref="L17:M17"/>
    <mergeCell ref="L18:M18"/>
    <mergeCell ref="L19:M19"/>
    <mergeCell ref="J29:K29"/>
    <mergeCell ref="J30:K30"/>
    <mergeCell ref="J31:K31"/>
    <mergeCell ref="J32:K32"/>
    <mergeCell ref="J33:K33"/>
    <mergeCell ref="J34:K34"/>
    <mergeCell ref="J23:K23"/>
    <mergeCell ref="J24:K24"/>
    <mergeCell ref="J25:K25"/>
    <mergeCell ref="J26:K26"/>
    <mergeCell ref="J27:K27"/>
    <mergeCell ref="J28:K28"/>
    <mergeCell ref="L38:M38"/>
    <mergeCell ref="L39:M39"/>
    <mergeCell ref="J18:K18"/>
    <mergeCell ref="J19:K19"/>
    <mergeCell ref="L40:M40"/>
    <mergeCell ref="H40:I40"/>
    <mergeCell ref="J40:K40"/>
    <mergeCell ref="J16:K17"/>
    <mergeCell ref="L32:M32"/>
    <mergeCell ref="L33:M33"/>
    <mergeCell ref="L34:M34"/>
    <mergeCell ref="L35:M35"/>
    <mergeCell ref="L36:M36"/>
    <mergeCell ref="L37:M37"/>
    <mergeCell ref="L26:M26"/>
    <mergeCell ref="L27:M27"/>
    <mergeCell ref="L28:M28"/>
    <mergeCell ref="L29:M29"/>
    <mergeCell ref="L30:M30"/>
    <mergeCell ref="L31:M31"/>
    <mergeCell ref="L20:M20"/>
    <mergeCell ref="L21:M21"/>
    <mergeCell ref="L22:M22"/>
    <mergeCell ref="L23:M23"/>
    <mergeCell ref="L24:M24"/>
    <mergeCell ref="L25:M25"/>
    <mergeCell ref="J35:K35"/>
    <mergeCell ref="J36:K36"/>
    <mergeCell ref="L12:M12"/>
    <mergeCell ref="L13:M13"/>
    <mergeCell ref="A13:B13"/>
    <mergeCell ref="C13:D13"/>
    <mergeCell ref="A12:B12"/>
    <mergeCell ref="C12:D12"/>
    <mergeCell ref="F12:G12"/>
    <mergeCell ref="F13:G13"/>
    <mergeCell ref="H12:I12"/>
    <mergeCell ref="H13:I13"/>
    <mergeCell ref="J12:K12"/>
    <mergeCell ref="J13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10DB-451E-4E2D-A177-F70FD8A5DDFB}">
  <dimension ref="A1:T20"/>
  <sheetViews>
    <sheetView tabSelected="1" topLeftCell="A9" workbookViewId="0">
      <selection activeCell="E12" sqref="E12"/>
    </sheetView>
  </sheetViews>
  <sheetFormatPr defaultRowHeight="14.25" x14ac:dyDescent="0.45"/>
  <cols>
    <col min="1" max="3" width="9.06640625" style="13"/>
  </cols>
  <sheetData>
    <row r="1" spans="1:20" ht="19.5" x14ac:dyDescent="0.45">
      <c r="A1" s="34" t="s">
        <v>75</v>
      </c>
      <c r="B1" s="34"/>
      <c r="C1" s="34"/>
    </row>
    <row r="2" spans="1:20" x14ac:dyDescent="0.45">
      <c r="A2" s="35"/>
      <c r="B2" s="35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0" x14ac:dyDescent="0.45">
      <c r="A3" s="13" t="s">
        <v>76</v>
      </c>
    </row>
    <row r="4" spans="1:20" x14ac:dyDescent="0.45">
      <c r="A4" s="13" t="s">
        <v>77</v>
      </c>
      <c r="B4" s="37" t="s">
        <v>84</v>
      </c>
    </row>
    <row r="5" spans="1:20" x14ac:dyDescent="0.45">
      <c r="B5" s="39" t="s">
        <v>83</v>
      </c>
    </row>
    <row r="6" spans="1:20" x14ac:dyDescent="0.45">
      <c r="B6" s="38" t="s">
        <v>87</v>
      </c>
    </row>
    <row r="7" spans="1:20" x14ac:dyDescent="0.45">
      <c r="B7" s="38" t="s">
        <v>79</v>
      </c>
    </row>
    <row r="8" spans="1:20" x14ac:dyDescent="0.45">
      <c r="B8" s="38" t="s">
        <v>78</v>
      </c>
    </row>
    <row r="9" spans="1:20" x14ac:dyDescent="0.45">
      <c r="B9" s="38" t="s">
        <v>80</v>
      </c>
    </row>
    <row r="10" spans="1:20" x14ac:dyDescent="0.45">
      <c r="B10" s="38" t="s">
        <v>90</v>
      </c>
    </row>
    <row r="11" spans="1:20" x14ac:dyDescent="0.45">
      <c r="B11" s="38" t="s">
        <v>81</v>
      </c>
    </row>
    <row r="12" spans="1:20" x14ac:dyDescent="0.45">
      <c r="B12" s="38" t="s">
        <v>91</v>
      </c>
    </row>
    <row r="13" spans="1:20" x14ac:dyDescent="0.45">
      <c r="A13" s="13" t="s">
        <v>82</v>
      </c>
      <c r="B13" s="13" t="s">
        <v>85</v>
      </c>
    </row>
    <row r="14" spans="1:20" x14ac:dyDescent="0.45">
      <c r="B14" s="40" t="s">
        <v>83</v>
      </c>
    </row>
    <row r="15" spans="1:20" x14ac:dyDescent="0.45">
      <c r="B15" s="38" t="s">
        <v>86</v>
      </c>
    </row>
    <row r="16" spans="1:20" x14ac:dyDescent="0.45">
      <c r="B16" s="38" t="s">
        <v>79</v>
      </c>
    </row>
    <row r="17" spans="2:2" x14ac:dyDescent="0.45">
      <c r="B17" s="38" t="s">
        <v>88</v>
      </c>
    </row>
    <row r="18" spans="2:2" x14ac:dyDescent="0.45">
      <c r="B18" s="38" t="s">
        <v>81</v>
      </c>
    </row>
    <row r="19" spans="2:2" x14ac:dyDescent="0.45">
      <c r="B19" s="13" t="s">
        <v>89</v>
      </c>
    </row>
    <row r="20" spans="2:2" x14ac:dyDescent="0.45">
      <c r="B20" s="38" t="s">
        <v>91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8316-6493-4694-AB06-7AE45BF77EA8}">
  <dimension ref="A1:D1"/>
  <sheetViews>
    <sheetView workbookViewId="0">
      <selection sqref="A1:D1"/>
    </sheetView>
  </sheetViews>
  <sheetFormatPr defaultRowHeight="14.25" x14ac:dyDescent="0.45"/>
  <cols>
    <col min="1" max="4" width="12.1328125" customWidth="1"/>
  </cols>
  <sheetData>
    <row r="1" spans="1:4" ht="30" customHeight="1" x14ac:dyDescent="0.65">
      <c r="A1" s="32"/>
      <c r="B1" s="32"/>
      <c r="C1" s="32"/>
      <c r="D1" s="3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Spreadsheet (absolute wors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Webb</dc:creator>
  <cp:lastModifiedBy>Lucas Webb</cp:lastModifiedBy>
  <dcterms:created xsi:type="dcterms:W3CDTF">2025-05-18T12:01:40Z</dcterms:created>
  <dcterms:modified xsi:type="dcterms:W3CDTF">2025-10-13T21:51:52Z</dcterms:modified>
</cp:coreProperties>
</file>